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mress\Downloads\"/>
    </mc:Choice>
  </mc:AlternateContent>
  <xr:revisionPtr revIDLastSave="0" documentId="13_ncr:1_{E30DF7E0-0172-465A-B349-EE6BE9D82709}" xr6:coauthVersionLast="47" xr6:coauthVersionMax="47" xr10:uidLastSave="{00000000-0000-0000-0000-000000000000}"/>
  <bookViews>
    <workbookView xWindow="-96" yWindow="0" windowWidth="11712" windowHeight="12336" tabRatio="500" xr2:uid="{00000000-000D-0000-FFFF-FFFF00000000}"/>
  </bookViews>
  <sheets>
    <sheet name="Risk Management Plan" sheetId="1" r:id="rId1"/>
  </sheets>
  <definedNames>
    <definedName name="_xlnm.Print_Area" localSheetId="0">'Risk Management Plan'!$A$1:$AC$55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96" i="1" l="1"/>
  <c r="V88" i="1"/>
  <c r="V80" i="1"/>
  <c r="V72" i="1"/>
  <c r="S100" i="1"/>
  <c r="R100" i="1"/>
  <c r="Q100" i="1"/>
  <c r="P100" i="1"/>
  <c r="O100" i="1"/>
  <c r="N100" i="1"/>
  <c r="S99" i="1"/>
  <c r="R99" i="1"/>
  <c r="Q99" i="1"/>
  <c r="P99" i="1"/>
  <c r="O99" i="1"/>
  <c r="N99" i="1"/>
  <c r="S98" i="1"/>
  <c r="R98" i="1"/>
  <c r="Q98" i="1"/>
  <c r="P98" i="1"/>
  <c r="O98" i="1"/>
  <c r="N98" i="1"/>
  <c r="S97" i="1"/>
  <c r="R97" i="1"/>
  <c r="Q97" i="1"/>
  <c r="P97" i="1"/>
  <c r="O97" i="1"/>
  <c r="N97" i="1"/>
  <c r="S96" i="1"/>
  <c r="R96" i="1"/>
  <c r="Q96" i="1"/>
  <c r="P96" i="1"/>
  <c r="O96" i="1"/>
  <c r="N96" i="1"/>
  <c r="S92" i="1"/>
  <c r="R92" i="1"/>
  <c r="Q92" i="1"/>
  <c r="P92" i="1"/>
  <c r="O92" i="1"/>
  <c r="N92" i="1"/>
  <c r="S91" i="1"/>
  <c r="R91" i="1"/>
  <c r="Q91" i="1"/>
  <c r="P91" i="1"/>
  <c r="O91" i="1"/>
  <c r="N91" i="1"/>
  <c r="S90" i="1"/>
  <c r="R90" i="1"/>
  <c r="Q90" i="1"/>
  <c r="P90" i="1"/>
  <c r="O90" i="1"/>
  <c r="N90" i="1"/>
  <c r="S89" i="1"/>
  <c r="R89" i="1"/>
  <c r="Q89" i="1"/>
  <c r="P89" i="1"/>
  <c r="O89" i="1"/>
  <c r="N89" i="1"/>
  <c r="S88" i="1"/>
  <c r="R88" i="1"/>
  <c r="Q88" i="1"/>
  <c r="P88" i="1"/>
  <c r="O88" i="1"/>
  <c r="N88" i="1"/>
  <c r="S84" i="1"/>
  <c r="R84" i="1"/>
  <c r="Q84" i="1"/>
  <c r="P84" i="1"/>
  <c r="O84" i="1"/>
  <c r="N84" i="1"/>
  <c r="S83" i="1"/>
  <c r="R83" i="1"/>
  <c r="Q83" i="1"/>
  <c r="P83" i="1"/>
  <c r="O83" i="1"/>
  <c r="N83" i="1"/>
  <c r="S82" i="1"/>
  <c r="R82" i="1"/>
  <c r="Q82" i="1"/>
  <c r="P82" i="1"/>
  <c r="O82" i="1"/>
  <c r="N82" i="1"/>
  <c r="S81" i="1"/>
  <c r="R81" i="1"/>
  <c r="Q81" i="1"/>
  <c r="P81" i="1"/>
  <c r="O81" i="1"/>
  <c r="N81" i="1"/>
  <c r="S80" i="1"/>
  <c r="R80" i="1"/>
  <c r="Q80" i="1"/>
  <c r="P80" i="1"/>
  <c r="O80" i="1"/>
  <c r="N80" i="1"/>
  <c r="S76" i="1"/>
  <c r="R76" i="1"/>
  <c r="Q76" i="1"/>
  <c r="P76" i="1"/>
  <c r="O76" i="1"/>
  <c r="N76" i="1"/>
  <c r="S75" i="1"/>
  <c r="R75" i="1"/>
  <c r="Q75" i="1"/>
  <c r="P75" i="1"/>
  <c r="O75" i="1"/>
  <c r="N75" i="1"/>
  <c r="S74" i="1"/>
  <c r="R74" i="1"/>
  <c r="Q74" i="1"/>
  <c r="P74" i="1"/>
  <c r="O74" i="1"/>
  <c r="N74" i="1"/>
  <c r="S73" i="1"/>
  <c r="R73" i="1"/>
  <c r="Q73" i="1"/>
  <c r="P73" i="1"/>
  <c r="O73" i="1"/>
  <c r="N73" i="1"/>
  <c r="S72" i="1"/>
  <c r="R72" i="1"/>
  <c r="Q72" i="1"/>
  <c r="P72" i="1"/>
  <c r="O72" i="1"/>
  <c r="N72" i="1"/>
  <c r="S68" i="1"/>
  <c r="R68" i="1"/>
  <c r="Q68" i="1"/>
  <c r="P68" i="1"/>
  <c r="O68" i="1"/>
  <c r="N68" i="1"/>
  <c r="S67" i="1"/>
  <c r="R67" i="1"/>
  <c r="Q67" i="1"/>
  <c r="P67" i="1"/>
  <c r="O67" i="1"/>
  <c r="N67" i="1"/>
  <c r="S66" i="1"/>
  <c r="R66" i="1"/>
  <c r="Q66" i="1"/>
  <c r="P66" i="1"/>
  <c r="O66" i="1"/>
  <c r="N66" i="1"/>
  <c r="S65" i="1"/>
  <c r="R65" i="1"/>
  <c r="Q65" i="1"/>
  <c r="P65" i="1"/>
  <c r="O65" i="1"/>
  <c r="N65" i="1"/>
  <c r="V64" i="1"/>
  <c r="S64" i="1"/>
  <c r="R64" i="1"/>
  <c r="Q64" i="1"/>
  <c r="P64" i="1"/>
  <c r="O64" i="1"/>
  <c r="N64" i="1"/>
  <c r="S60" i="1"/>
  <c r="R60" i="1"/>
  <c r="Q60" i="1"/>
  <c r="P60" i="1"/>
  <c r="O60" i="1"/>
  <c r="N60" i="1"/>
  <c r="S59" i="1"/>
  <c r="R59" i="1"/>
  <c r="Q59" i="1"/>
  <c r="P59" i="1"/>
  <c r="O59" i="1"/>
  <c r="N59" i="1"/>
  <c r="S58" i="1"/>
  <c r="R58" i="1"/>
  <c r="Q58" i="1"/>
  <c r="P58" i="1"/>
  <c r="O58" i="1"/>
  <c r="N58" i="1"/>
  <c r="S57" i="1"/>
  <c r="R57" i="1"/>
  <c r="Q57" i="1"/>
  <c r="P57" i="1"/>
  <c r="O57" i="1"/>
  <c r="N57" i="1"/>
  <c r="V56" i="1"/>
  <c r="S56" i="1"/>
  <c r="R56" i="1"/>
  <c r="Q56" i="1"/>
  <c r="P56" i="1"/>
  <c r="O56" i="1"/>
  <c r="N56" i="1"/>
  <c r="V48" i="1"/>
  <c r="V40" i="1"/>
  <c r="V32" i="1"/>
  <c r="V24" i="1"/>
  <c r="V16" i="1"/>
  <c r="S52" i="1"/>
  <c r="R52" i="1"/>
  <c r="Q52" i="1"/>
  <c r="P52" i="1"/>
  <c r="O52" i="1"/>
  <c r="N52" i="1"/>
  <c r="S51" i="1"/>
  <c r="R51" i="1"/>
  <c r="Q51" i="1"/>
  <c r="P51" i="1"/>
  <c r="O51" i="1"/>
  <c r="N51" i="1"/>
  <c r="S50" i="1"/>
  <c r="R50" i="1"/>
  <c r="Q50" i="1"/>
  <c r="P50" i="1"/>
  <c r="O50" i="1"/>
  <c r="N50" i="1"/>
  <c r="S49" i="1"/>
  <c r="R49" i="1"/>
  <c r="Q49" i="1"/>
  <c r="P49" i="1"/>
  <c r="O49" i="1"/>
  <c r="N49" i="1"/>
  <c r="S48" i="1"/>
  <c r="R48" i="1"/>
  <c r="Q48" i="1"/>
  <c r="P48" i="1"/>
  <c r="O48" i="1"/>
  <c r="N48" i="1"/>
  <c r="S44" i="1"/>
  <c r="R44" i="1"/>
  <c r="Q44" i="1"/>
  <c r="P44" i="1"/>
  <c r="O44" i="1"/>
  <c r="N44" i="1"/>
  <c r="S43" i="1"/>
  <c r="R43" i="1"/>
  <c r="Q43" i="1"/>
  <c r="P43" i="1"/>
  <c r="O43" i="1"/>
  <c r="N43" i="1"/>
  <c r="S42" i="1"/>
  <c r="R42" i="1"/>
  <c r="Q42" i="1"/>
  <c r="P42" i="1"/>
  <c r="O42" i="1"/>
  <c r="N42" i="1"/>
  <c r="S41" i="1"/>
  <c r="R41" i="1"/>
  <c r="Q41" i="1"/>
  <c r="P41" i="1"/>
  <c r="O41" i="1"/>
  <c r="N41" i="1"/>
  <c r="S40" i="1"/>
  <c r="R40" i="1"/>
  <c r="Q40" i="1"/>
  <c r="P40" i="1"/>
  <c r="O40" i="1"/>
  <c r="N40" i="1"/>
  <c r="S36" i="1"/>
  <c r="R36" i="1"/>
  <c r="Q36" i="1"/>
  <c r="P36" i="1"/>
  <c r="O36" i="1"/>
  <c r="N36" i="1"/>
  <c r="S35" i="1"/>
  <c r="R35" i="1"/>
  <c r="Q35" i="1"/>
  <c r="P35" i="1"/>
  <c r="O35" i="1"/>
  <c r="N35" i="1"/>
  <c r="S34" i="1"/>
  <c r="R34" i="1"/>
  <c r="Q34" i="1"/>
  <c r="P34" i="1"/>
  <c r="O34" i="1"/>
  <c r="N34" i="1"/>
  <c r="S33" i="1"/>
  <c r="R33" i="1"/>
  <c r="Q33" i="1"/>
  <c r="P33" i="1"/>
  <c r="O33" i="1"/>
  <c r="N33" i="1"/>
  <c r="S32" i="1"/>
  <c r="R32" i="1"/>
  <c r="Q32" i="1"/>
  <c r="P32" i="1"/>
  <c r="O32" i="1"/>
  <c r="N32" i="1"/>
  <c r="S28" i="1"/>
  <c r="R28" i="1"/>
  <c r="Q28" i="1"/>
  <c r="P28" i="1"/>
  <c r="O28" i="1"/>
  <c r="N28" i="1"/>
  <c r="S27" i="1"/>
  <c r="R27" i="1"/>
  <c r="Q27" i="1"/>
  <c r="P27" i="1"/>
  <c r="O27" i="1"/>
  <c r="N27" i="1"/>
  <c r="S26" i="1"/>
  <c r="R26" i="1"/>
  <c r="Q26" i="1"/>
  <c r="P26" i="1"/>
  <c r="O26" i="1"/>
  <c r="N26" i="1"/>
  <c r="S25" i="1"/>
  <c r="R25" i="1"/>
  <c r="Q25" i="1"/>
  <c r="P25" i="1"/>
  <c r="O25" i="1"/>
  <c r="N25" i="1"/>
  <c r="S24" i="1"/>
  <c r="R24" i="1"/>
  <c r="Q24" i="1"/>
  <c r="P24" i="1"/>
  <c r="O24" i="1"/>
  <c r="N24" i="1"/>
  <c r="S20" i="1"/>
  <c r="R20" i="1"/>
  <c r="Q20" i="1"/>
  <c r="P20" i="1"/>
  <c r="O20" i="1"/>
  <c r="N20" i="1"/>
  <c r="S19" i="1"/>
  <c r="R19" i="1"/>
  <c r="Q19" i="1"/>
  <c r="P19" i="1"/>
  <c r="O19" i="1"/>
  <c r="N19" i="1"/>
  <c r="S18" i="1"/>
  <c r="R18" i="1"/>
  <c r="Q18" i="1"/>
  <c r="P18" i="1"/>
  <c r="O18" i="1"/>
  <c r="N18" i="1"/>
  <c r="S17" i="1"/>
  <c r="R17" i="1"/>
  <c r="Q17" i="1"/>
  <c r="P17" i="1"/>
  <c r="O17" i="1"/>
  <c r="N17" i="1"/>
  <c r="S16" i="1"/>
  <c r="R16" i="1"/>
  <c r="Q16" i="1"/>
  <c r="P16" i="1"/>
  <c r="O16" i="1"/>
  <c r="N16" i="1"/>
</calcChain>
</file>

<file path=xl/sharedStrings.xml><?xml version="1.0" encoding="utf-8"?>
<sst xmlns="http://schemas.openxmlformats.org/spreadsheetml/2006/main" count="449" uniqueCount="180">
  <si>
    <t>Date</t>
  </si>
  <si>
    <t>Project Mngr</t>
  </si>
  <si>
    <t>Name</t>
  </si>
  <si>
    <t>abd mahmoud</t>
  </si>
  <si>
    <t>None</t>
  </si>
  <si>
    <t>Priority</t>
  </si>
  <si>
    <t>PROJECT RISK MANAGEMENT PLAN</t>
  </si>
  <si>
    <t>WBS 100 Project Management</t>
  </si>
  <si>
    <t>Identification</t>
  </si>
  <si>
    <t>Qualitative Analysis</t>
  </si>
  <si>
    <t xml:space="preserve">    Quantitative Analysis</t>
  </si>
  <si>
    <t>Response Strategy</t>
  </si>
  <si>
    <t>Monitoring and Control</t>
  </si>
  <si>
    <t>WBS 150 Develop Project Initiation Document (PID)</t>
  </si>
  <si>
    <t>Status</t>
  </si>
  <si>
    <t>ID #</t>
  </si>
  <si>
    <t>Date Identified         Project Phase</t>
  </si>
  <si>
    <t>Functional Assignment</t>
  </si>
  <si>
    <t>Threat/Opportunity Event</t>
  </si>
  <si>
    <t>Risk Trigger</t>
  </si>
  <si>
    <t>Type</t>
  </si>
  <si>
    <t>Probability</t>
  </si>
  <si>
    <t>Impact</t>
  </si>
  <si>
    <t>Risk Matrix</t>
  </si>
  <si>
    <t>Probability (%)</t>
  </si>
  <si>
    <t>Impact     ($ or days)</t>
  </si>
  <si>
    <t>Effect         ($ or days)</t>
  </si>
  <si>
    <t>Strategy</t>
  </si>
  <si>
    <t>Response Actions including advantages and disadvantages</t>
  </si>
  <si>
    <t>Affected WBS Tasks</t>
  </si>
  <si>
    <t>Responsibilty (Task Manager)</t>
  </si>
  <si>
    <t>Status Interval or Milestone Check</t>
  </si>
  <si>
    <t>Date, Status and Review Comments</t>
  </si>
  <si>
    <t>WBS 160 Perform Preliminary Engineering Studies and Prepare Draft Project Report</t>
  </si>
  <si>
    <t>Active</t>
  </si>
  <si>
    <t>PID</t>
  </si>
  <si>
    <t>Scope</t>
  </si>
  <si>
    <t>Very High</t>
  </si>
  <si>
    <t>Avoidance</t>
  </si>
  <si>
    <t>WBS 165 Perform Environmental Studies and Prepare Draft Environmental Document (DED)</t>
  </si>
  <si>
    <t>Dormant</t>
  </si>
  <si>
    <t>PA&amp;ED</t>
  </si>
  <si>
    <t>Schedule</t>
  </si>
  <si>
    <t>High</t>
  </si>
  <si>
    <t>Transference</t>
  </si>
  <si>
    <t>WBS 175 Circulate Draft Environmental Document and Select Preferred Project Alternative</t>
  </si>
  <si>
    <t>Retired</t>
  </si>
  <si>
    <t>PS&amp;E</t>
  </si>
  <si>
    <t>Cost</t>
  </si>
  <si>
    <t>Moderate</t>
  </si>
  <si>
    <t>Mitigation</t>
  </si>
  <si>
    <t>WBS 180 Prepare and Approve Project Report and Final Environmental Document</t>
  </si>
  <si>
    <t>Construction</t>
  </si>
  <si>
    <t>Quality</t>
  </si>
  <si>
    <t>Low</t>
  </si>
  <si>
    <t>Acceptance</t>
  </si>
  <si>
    <t>WBS 185 Prepare Base Maps and Plan Sheets</t>
  </si>
  <si>
    <t>Very Low</t>
  </si>
  <si>
    <t>N/A</t>
  </si>
  <si>
    <t>WBS 190 Prepare Structure Site Plans</t>
  </si>
  <si>
    <t>(1)</t>
  </si>
  <si>
    <t>(2)</t>
  </si>
  <si>
    <t>(3)</t>
  </si>
  <si>
    <t>(4)</t>
  </si>
  <si>
    <t>(5)</t>
  </si>
  <si>
    <t>(6)</t>
  </si>
  <si>
    <t>(7)</t>
  </si>
  <si>
    <t>(8)</t>
  </si>
  <si>
    <t>(9)</t>
  </si>
  <si>
    <t>(10)</t>
  </si>
  <si>
    <t>(11)</t>
  </si>
  <si>
    <t>(12)</t>
  </si>
  <si>
    <t>(13)</t>
  </si>
  <si>
    <t>(14) =(13)x(12)</t>
  </si>
  <si>
    <t>(15)</t>
  </si>
  <si>
    <t>(16)</t>
  </si>
  <si>
    <t>(17)</t>
  </si>
  <si>
    <t>(18)</t>
  </si>
  <si>
    <t>(19)</t>
  </si>
  <si>
    <t>(20)</t>
  </si>
  <si>
    <t>WBS 195 Right of Way Property Management and Excess Land</t>
  </si>
  <si>
    <t>VH</t>
  </si>
  <si>
    <t>WBS 230 Prepare Draft PS&amp;E</t>
  </si>
  <si>
    <t>H</t>
  </si>
  <si>
    <t>M</t>
  </si>
  <si>
    <t>L</t>
  </si>
  <si>
    <t>WBS 235 Mitigate Environmental Impacts and Clean-up Hazardous Waste</t>
  </si>
  <si>
    <t>VL</t>
  </si>
  <si>
    <t>WBS 240 Prepare Draft Structures PS&amp;E</t>
  </si>
  <si>
    <t>WBS 245 Post Right of Way Certification Work</t>
  </si>
  <si>
    <t>WBS 250 Prepare Final Structures PS&amp;E Package</t>
  </si>
  <si>
    <t>WBS 255 Circulate, Review, and Prepare Final District PS&amp;E Package</t>
  </si>
  <si>
    <t>OA-R001</t>
  </si>
  <si>
    <t>Order Automation</t>
  </si>
  <si>
    <t>Non-order email matches subject keywords and gets processed as an order.</t>
  </si>
  <si>
    <t>Increase in Processed emails with empty/odd item extraction or customer complaints.</t>
  </si>
  <si>
    <t>Tighten keyword list; optionally add sender allow/deny list; require minimum item-structure match before
treating as an order. If extraction confidence is low, route to NeedInfo instead of Processed.</t>
  </si>
  <si>
    <t>Email intake &amp; identification; Order extraction; Outcome routing</t>
  </si>
  <si>
    <t>Mailbox/Admin + Developer</t>
  </si>
  <si>
    <t>Weekly during build; monthly after go-live</t>
  </si>
  <si>
    <t>OA-R002</t>
  </si>
  <si>
    <t>Real orders are missed due to incomplete keyword rules (false negatives).</t>
  </si>
  <si>
    <t>Ops reports missing expected orders; order volume mismatch vs manual checks.</t>
  </si>
  <si>
    <t>Expand keywords; add optional body phrase detection; maintain a periodic inbox review process until
detection stabilizes.</t>
  </si>
  <si>
    <t>Email intake &amp; identification; Monitoring &amp; controls</t>
  </si>
  <si>
    <t>Ops Owner + Mailbox/Admin</t>
  </si>
  <si>
    <t>OA-R003</t>
  </si>
  <si>
    <t>Email body format differs from supported patterns; extraction fails and NeedInfo
volume spikes.</t>
  </si>
  <si>
    <t>NeedInfo rate increases; repeated parse failures from same sender.</t>
  </si>
  <si>
    <t>Add/extend parsing patterns (comma/pipe/labeled); build unit tests for each format; add normalization and
validation for product/qty/price fields.</t>
  </si>
  <si>
    <t>Order extraction; Reliability &amp; QA</t>
  </si>
  <si>
    <t>Developer + QA</t>
  </si>
  <si>
    <t>OA-R004</t>
  </si>
  <si>
    <t>Incorrect parsing (wrong qty/price) silently produces wrong totals/ETA and wrong
restock updates.</t>
  </si>
  <si>
    <t>Totals not matching line items; unusual quantities/prices; customer disputes.</t>
  </si>
  <si>
    <t>Avoidance / Mitigation</t>
  </si>
  <si>
    <t>Strict validation rules (qty&gt;0, numeric parsing, currency handling); cross-check line total=qty×unit
price; sanity bounds; if validation fails, route to NeedInfo (no downstream updates).</t>
  </si>
  <si>
    <t>Order extraction; Calculations &amp; business rules; Restock update</t>
  </si>
  <si>
    <t>Developer</t>
  </si>
  <si>
    <t>OA-R005</t>
  </si>
  <si>
    <t>Duplicate processing of the same email causes double increments in the restock
spreadsheet.</t>
  </si>
  <si>
    <t>Same sender/subject processed multiple times; repeated internal IDs; spreadsheet jump
anomalies.</t>
  </si>
  <si>
    <t>Persist processed message IDs; make restock update idempotent keyed by message ID; detect duplicates and
skip downstream actions (log + route to Failed/NeedInfo).</t>
  </si>
  <si>
    <t>Email processing loop; Restock update; Logging</t>
  </si>
  <si>
    <t>Developer + Ops Owner</t>
  </si>
  <si>
    <t>OA-R006</t>
  </si>
  <si>
    <t>Attachments fail to save or overwrite due to filename collisions.</t>
  </si>
  <si>
    <t>Missing attachments on disk; identical filenames from different emails.</t>
  </si>
  <si>
    <t>Save to configured folder with one subfolder per email; include unique ID in folder/file names; check
disk space and retry transient IO.</t>
  </si>
  <si>
    <t>Attachments handling; Logging &amp; audit trail</t>
  </si>
  <si>
    <t>OA-R007</t>
  </si>
  <si>
    <t>Restock spreadsheet is locked, corrupted, or its schema changes, causing update
failures.</t>
  </si>
  <si>
    <t>Write errors; missing columns; file lock conflicts.</t>
  </si>
  <si>
    <t>Validate schema before write; create timestamped backup; handle file locks with retry/backoff; on failure
route to Failed and alert Ops (no partial writes).</t>
  </si>
  <si>
    <t>Restock tracker update; Reliability &amp; error handling</t>
  </si>
  <si>
    <t>OA-R008</t>
  </si>
  <si>
    <t>OA-R009</t>
  </si>
  <si>
    <t>Misconfigured delivery-days rule generates incorrect ETA in follow-up messages.</t>
  </si>
  <si>
    <t>ETAs inconsistent with policy; unusually far/near dates.</t>
  </si>
  <si>
    <t>Settings UI; Calculations &amp; business rules</t>
  </si>
  <si>
    <t>Project Owner + Developer</t>
  </si>
  <si>
    <t>OA-R010</t>
  </si>
  <si>
    <t>Mailbox foldering fails (missing folders/permissions) leaving status unclear and
inbox cluttered.</t>
  </si>
  <si>
    <t>Emails remain in inbox; move operation errors.</t>
  </si>
  <si>
    <t>Verify/create outcome folders during initialization; on move failure still write log entry and surface
manual action needed.</t>
  </si>
  <si>
    <t>Setup &amp; initialization; Outcome routing; Logging</t>
  </si>
  <si>
    <t>Mailbox/Admin</t>
  </si>
  <si>
    <t>OA-R011</t>
  </si>
  <si>
    <t>Log record is missing or does not reflect final status after downstream actions
(audit gap).</t>
  </si>
  <si>
    <t>Mismatch between folder status and log; missing attachment paths in log.</t>
  </si>
  <si>
    <t>Log only after all actions complete; enforce required fields; retry log writes; if logging fails, treat
as Failed and alert for reconciliation.</t>
  </si>
  <si>
    <t>Logging &amp; audit trail; Reliability &amp; error handling</t>
  </si>
  <si>
    <t>Security/privacy issue: attachments or logs stored in an insecure location or with
overly broad permissions.</t>
  </si>
  <si>
    <t>Unauthorized access report; storage path not approved.</t>
  </si>
  <si>
    <t>Use least-privilege permissions; store only in configured approved folder; minimize sensitive data in
logs; rotate credentials and audit access after any incident.</t>
  </si>
  <si>
    <t>Settings; Attachments handling; Logging</t>
  </si>
  <si>
    <t>Project Owner + Mailbox/Admin</t>
  </si>
  <si>
    <t>Validate settings (bounds checks); show preview in Settings UI; keep default values sane; block run on
invalid configuration.Validate settings (bounds checks); show preview in Settings UI; keep default values sane; block run on
invalid configuration.</t>
  </si>
  <si>
    <t>2025-11-01
Planning</t>
  </si>
  <si>
    <t>2025-11-05
Planning</t>
  </si>
  <si>
    <t>2025-11-09
Planning</t>
  </si>
  <si>
    <t>2025-11-13
Planning</t>
  </si>
  <si>
    <t>2025-11-17
Design</t>
  </si>
  <si>
    <t>2025-11-21
Design</t>
  </si>
  <si>
    <t>2025-11-25
Design</t>
  </si>
  <si>
    <t>2025-12-03
Build</t>
  </si>
  <si>
    <t>2025-12-07
Build</t>
  </si>
  <si>
    <t>2025-12-11
Build</t>
  </si>
  <si>
    <t>2025-12-15
Build</t>
  </si>
  <si>
    <t>2025-11-01 - Identified during Planning. Next review: 2025-11-08.</t>
  </si>
  <si>
    <t>2025-11-05 - Identified during Planning. Next review: 2025-11-12.</t>
  </si>
  <si>
    <t>2025-11-09 - Identified during Planning. Next review: 2025-11-16.</t>
  </si>
  <si>
    <t>2025-11-13 - Identified during Planning. Next review: 2025-11-20.</t>
  </si>
  <si>
    <t>2025-11-17 - Identified during Design. Next review: 2025-11-24.</t>
  </si>
  <si>
    <t>2025-11-21 - Identified during Design. Next review: 2025-11-28.</t>
  </si>
  <si>
    <t>2025-11-25 - Identified during Design. Next review: 2025-12-02.</t>
  </si>
  <si>
    <t>2025-12-03 - Identified during Build. Next review: 2025-12-10.</t>
  </si>
  <si>
    <t>2025-12-07 - Identified during Build. Next review: 2025-12-14.</t>
  </si>
  <si>
    <t>2025-12-11 - Identified during Build. Next review: 2025-12-18.</t>
  </si>
  <si>
    <t>2025-12-15 - Identified during Build. Next review: 2025-12-22.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</si>
</sst>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m/d/yyyy"/>
    <numFmt numFmtId="165" formatCode="yyyy\-mm\-dd"/>
  </numFmts>
  <fonts count="10" x14ac:knownFonts="1">
    <font>
      <sz val="10"/>
      <name val="Arial"/>
    </font>
    <font>
      <sz val="10"/>
      <name val="Arial"/>
    </font>
    <font>
      <b/>
      <sz val="12"/>
      <name val="Arial"/>
      <family val="2"/>
    </font>
    <font>
      <sz val="12"/>
      <name val="Arial"/>
      <family val="2"/>
    </font>
    <font>
      <b/>
      <sz val="10"/>
      <name val="Arial"/>
      <family val="2"/>
    </font>
    <font>
      <b/>
      <sz val="18"/>
      <name val="Arial"/>
      <family val="2"/>
    </font>
    <font>
      <sz val="10"/>
      <name val="Arial"/>
      <family val="2"/>
    </font>
    <font>
      <b/>
      <sz val="12"/>
      <color rgb="FF000000"/>
      <name val="Arial"/>
      <family val="2"/>
    </font>
    <font>
      <sz val="10"/>
      <color rgb="FF969696"/>
      <name val="Arial"/>
      <family val="2"/>
    </font>
    <font>
      <sz val="8"/>
      <name val="Arial"/>
      <family val="2"/>
    </font>
  </fonts>
  <fills count="6">
    <fill>
      <patternFill patternType="none"/>
    </fill>
    <fill>
      <patternFill patternType="gray125"/>
    </fill>
    <fill>
      <patternFill patternType="solid">
        <fgColor rgb="FF00FF00"/>
        <bgColor rgb="FF33CCCC"/>
      </patternFill>
    </fill>
    <fill>
      <patternFill patternType="solid">
        <fgColor rgb="FFFFFF00"/>
        <bgColor rgb="FFFFFF00"/>
      </patternFill>
    </fill>
    <fill>
      <patternFill patternType="solid">
        <fgColor rgb="FFFF0000"/>
        <bgColor rgb="FF993300"/>
      </patternFill>
    </fill>
    <fill>
      <patternFill patternType="solid">
        <fgColor rgb="FF969696"/>
        <bgColor rgb="FF808080"/>
      </patternFill>
    </fill>
  </fills>
  <borders count="67">
    <border>
      <left/>
      <right/>
      <top/>
      <bottom/>
      <diagonal/>
    </border>
    <border>
      <left style="thin">
        <color auto="1"/>
      </left>
      <right/>
      <top/>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thin">
        <color auto="1"/>
      </bottom>
      <diagonal/>
    </border>
    <border>
      <left style="medium">
        <color auto="1"/>
      </left>
      <right style="medium">
        <color auto="1"/>
      </right>
      <top style="medium">
        <color auto="1"/>
      </top>
      <bottom style="thin">
        <color auto="1"/>
      </bottom>
      <diagonal/>
    </border>
    <border>
      <left style="medium">
        <color auto="1"/>
      </left>
      <right/>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bottom style="medium">
        <color auto="1"/>
      </bottom>
      <diagonal/>
    </border>
    <border>
      <left style="thin">
        <color auto="1"/>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style="thin">
        <color auto="1"/>
      </bottom>
      <diagonal/>
    </border>
    <border>
      <left style="thin">
        <color auto="1"/>
      </left>
      <right/>
      <top style="thin">
        <color auto="1"/>
      </top>
      <bottom style="medium">
        <color auto="1"/>
      </bottom>
      <diagonal/>
    </border>
    <border>
      <left style="thin">
        <color auto="1"/>
      </left>
      <right/>
      <top/>
      <bottom style="medium">
        <color auto="1"/>
      </bottom>
      <diagonal/>
    </border>
    <border>
      <left style="thin">
        <color auto="1"/>
      </left>
      <right style="medium">
        <color auto="1"/>
      </right>
      <top/>
      <bottom style="medium">
        <color auto="1"/>
      </bottom>
      <diagonal/>
    </border>
    <border>
      <left/>
      <right style="medium">
        <color auto="1"/>
      </right>
      <top/>
      <bottom/>
      <diagonal/>
    </border>
    <border>
      <left style="medium">
        <color auto="1"/>
      </left>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style="medium">
        <color auto="1"/>
      </top>
      <bottom/>
      <diagonal/>
    </border>
    <border>
      <left style="thin">
        <color auto="1"/>
      </left>
      <right style="thin">
        <color auto="1"/>
      </right>
      <top style="double">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medium">
        <color auto="1"/>
      </left>
      <right style="thin">
        <color auto="1"/>
      </right>
      <top style="double">
        <color auto="1"/>
      </top>
      <bottom style="thin">
        <color auto="1"/>
      </bottom>
      <diagonal/>
    </border>
    <border>
      <left style="thin">
        <color auto="1"/>
      </left>
      <right/>
      <top style="double">
        <color auto="1"/>
      </top>
      <bottom style="thin">
        <color auto="1"/>
      </bottom>
      <diagonal/>
    </border>
    <border>
      <left style="thin">
        <color auto="1"/>
      </left>
      <right style="thin">
        <color auto="1"/>
      </right>
      <top style="double">
        <color auto="1"/>
      </top>
      <bottom style="thin">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top/>
      <bottom style="thin">
        <color auto="1"/>
      </bottom>
      <diagonal/>
    </border>
    <border>
      <left style="medium">
        <color auto="1"/>
      </left>
      <right style="medium">
        <color auto="1"/>
      </right>
      <top/>
      <bottom style="double">
        <color auto="1"/>
      </bottom>
      <diagonal/>
    </border>
    <border>
      <left style="medium">
        <color auto="1"/>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medium">
        <color auto="1"/>
      </right>
      <top style="thin">
        <color auto="1"/>
      </top>
      <bottom style="double">
        <color auto="1"/>
      </bottom>
      <diagonal/>
    </border>
    <border>
      <left style="thin">
        <color auto="1"/>
      </left>
      <right/>
      <top style="thin">
        <color auto="1"/>
      </top>
      <bottom style="double">
        <color auto="1"/>
      </bottom>
      <diagonal/>
    </border>
    <border>
      <left/>
      <right/>
      <top style="thin">
        <color auto="1"/>
      </top>
      <bottom style="double">
        <color auto="1"/>
      </bottom>
      <diagonal/>
    </border>
    <border>
      <left style="medium">
        <color auto="1"/>
      </left>
      <right/>
      <top style="thin">
        <color auto="1"/>
      </top>
      <bottom style="double">
        <color auto="1"/>
      </bottom>
      <diagonal/>
    </border>
    <border>
      <left/>
      <right style="thin">
        <color auto="1"/>
      </right>
      <top style="thin">
        <color auto="1"/>
      </top>
      <bottom style="double">
        <color auto="1"/>
      </bottom>
      <diagonal/>
    </border>
    <border>
      <left/>
      <right style="medium">
        <color auto="1"/>
      </right>
      <top style="thin">
        <color auto="1"/>
      </top>
      <bottom style="double">
        <color auto="1"/>
      </bottom>
      <diagonal/>
    </border>
    <border>
      <left style="thin">
        <color auto="1"/>
      </left>
      <right style="medium">
        <color auto="1"/>
      </right>
      <top style="double">
        <color auto="1"/>
      </top>
      <bottom style="thin">
        <color auto="1"/>
      </bottom>
      <diagonal/>
    </border>
    <border>
      <left style="medium">
        <color auto="1"/>
      </left>
      <right style="medium">
        <color auto="1"/>
      </right>
      <top/>
      <bottom/>
      <diagonal/>
    </border>
    <border>
      <left style="medium">
        <color auto="1"/>
      </left>
      <right style="medium">
        <color auto="1"/>
      </right>
      <top/>
      <bottom style="medium">
        <color auto="1"/>
      </bottom>
      <diagonal/>
    </border>
    <border>
      <left/>
      <right/>
      <top style="medium">
        <color auto="1"/>
      </top>
      <bottom/>
      <diagonal/>
    </border>
    <border>
      <left/>
      <right style="medium">
        <color auto="1"/>
      </right>
      <top style="medium">
        <color auto="1"/>
      </top>
      <bottom style="medium">
        <color auto="1"/>
      </bottom>
      <diagonal/>
    </border>
    <border>
      <left/>
      <right/>
      <top style="medium">
        <color auto="1"/>
      </top>
      <bottom style="thin">
        <color auto="1"/>
      </bottom>
      <diagonal/>
    </border>
    <border>
      <left/>
      <right style="thin">
        <color auto="1"/>
      </right>
      <top/>
      <bottom/>
      <diagonal/>
    </border>
    <border>
      <left style="medium">
        <color auto="1"/>
      </left>
      <right style="thin">
        <color auto="1"/>
      </right>
      <top/>
      <bottom/>
      <diagonal/>
    </border>
    <border>
      <left style="thin">
        <color auto="1"/>
      </left>
      <right style="medium">
        <color auto="1"/>
      </right>
      <top/>
      <bottom style="thin">
        <color auto="1"/>
      </bottom>
      <diagonal/>
    </border>
    <border>
      <left style="medium">
        <color auto="1"/>
      </left>
      <right style="thin">
        <color auto="1"/>
      </right>
      <top style="double">
        <color auto="1"/>
      </top>
      <bottom/>
      <diagonal/>
    </border>
    <border>
      <left style="thin">
        <color auto="1"/>
      </left>
      <right style="medium">
        <color auto="1"/>
      </right>
      <top style="medium">
        <color auto="1"/>
      </top>
      <bottom/>
      <diagonal/>
    </border>
    <border>
      <left style="medium">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right style="thin">
        <color auto="1"/>
      </right>
      <top/>
      <bottom style="thin">
        <color auto="1"/>
      </bottom>
      <diagonal/>
    </border>
    <border>
      <left style="thin">
        <color auto="1"/>
      </left>
      <right style="medium">
        <color auto="1"/>
      </right>
      <top style="double">
        <color auto="1"/>
      </top>
      <bottom/>
      <diagonal/>
    </border>
  </borders>
  <cellStyleXfs count="1">
    <xf numFmtId="0" fontId="0" fillId="0" borderId="0"/>
  </cellStyleXfs>
  <cellXfs count="175">
    <xf numFmtId="0" fontId="0" fillId="0" borderId="0" xfId="0"/>
    <xf numFmtId="0" fontId="0" fillId="0" borderId="1" xfId="0" applyBorder="1" applyAlignment="1">
      <alignment horizontal="center"/>
    </xf>
    <xf numFmtId="0" fontId="0" fillId="0" borderId="1" xfId="0" applyBorder="1"/>
    <xf numFmtId="0" fontId="0" fillId="0" borderId="0" xfId="0" applyAlignment="1">
      <alignment horizontal="center"/>
    </xf>
    <xf numFmtId="0" fontId="2" fillId="0" borderId="0" xfId="0" applyFont="1"/>
    <xf numFmtId="0" fontId="3" fillId="0" borderId="0" xfId="0" applyFont="1" applyAlignment="1">
      <alignment horizontal="right"/>
    </xf>
    <xf numFmtId="0" fontId="3" fillId="0" borderId="0" xfId="0" applyFont="1"/>
    <xf numFmtId="164" fontId="3" fillId="0" borderId="0" xfId="0" applyNumberFormat="1" applyFont="1" applyAlignment="1">
      <alignment horizontal="right"/>
    </xf>
    <xf numFmtId="0" fontId="2" fillId="0" borderId="0" xfId="0" applyFont="1" applyAlignment="1">
      <alignment horizontal="right"/>
    </xf>
    <xf numFmtId="0" fontId="4" fillId="0" borderId="0" xfId="0" applyFont="1"/>
    <xf numFmtId="164" fontId="0" fillId="0" borderId="0" xfId="0" applyNumberFormat="1" applyAlignment="1">
      <alignment horizontal="right"/>
    </xf>
    <xf numFmtId="0" fontId="0" fillId="0" borderId="0" xfId="0" applyAlignment="1">
      <alignment horizontal="right"/>
    </xf>
    <xf numFmtId="0" fontId="4" fillId="0" borderId="0" xfId="0" applyFont="1" applyAlignment="1">
      <alignment wrapText="1"/>
    </xf>
    <xf numFmtId="0" fontId="0" fillId="0" borderId="0" xfId="0" applyAlignment="1">
      <alignment wrapText="1"/>
    </xf>
    <xf numFmtId="0" fontId="4" fillId="0" borderId="5" xfId="0" applyFont="1" applyBorder="1" applyAlignment="1">
      <alignment horizontal="center" wrapText="1"/>
    </xf>
    <xf numFmtId="0" fontId="4" fillId="0" borderId="6" xfId="0" applyFont="1" applyBorder="1" applyAlignment="1">
      <alignment wrapText="1"/>
    </xf>
    <xf numFmtId="0" fontId="4" fillId="0" borderId="6" xfId="0" applyFont="1" applyBorder="1" applyAlignment="1">
      <alignment horizontal="center" wrapText="1"/>
    </xf>
    <xf numFmtId="0" fontId="4" fillId="0" borderId="7" xfId="0" applyFont="1" applyBorder="1" applyAlignment="1">
      <alignment horizontal="center" wrapText="1"/>
    </xf>
    <xf numFmtId="0" fontId="4" fillId="0" borderId="8" xfId="0" applyFont="1" applyBorder="1" applyAlignment="1">
      <alignment horizontal="center" wrapText="1"/>
    </xf>
    <xf numFmtId="0" fontId="4" fillId="0" borderId="9" xfId="0" applyFont="1" applyBorder="1" applyAlignment="1">
      <alignment horizontal="center" wrapText="1"/>
    </xf>
    <xf numFmtId="0" fontId="4" fillId="0" borderId="10" xfId="0" applyFont="1" applyBorder="1" applyAlignment="1">
      <alignment horizontal="center" wrapText="1"/>
    </xf>
    <xf numFmtId="0" fontId="4" fillId="0" borderId="11" xfId="0" applyFont="1" applyBorder="1" applyAlignment="1">
      <alignment horizontal="center" wrapText="1"/>
    </xf>
    <xf numFmtId="0" fontId="4" fillId="0" borderId="5" xfId="0" applyFont="1" applyBorder="1" applyAlignment="1">
      <alignment wrapText="1"/>
    </xf>
    <xf numFmtId="0" fontId="4" fillId="0" borderId="12" xfId="0" applyFont="1" applyBorder="1" applyAlignment="1">
      <alignment wrapText="1"/>
    </xf>
    <xf numFmtId="0" fontId="4" fillId="0" borderId="7" xfId="0" applyFont="1" applyBorder="1" applyAlignment="1">
      <alignment wrapText="1"/>
    </xf>
    <xf numFmtId="0" fontId="4" fillId="0" borderId="13" xfId="0" applyFont="1" applyBorder="1" applyAlignment="1">
      <alignment wrapText="1"/>
    </xf>
    <xf numFmtId="0" fontId="4" fillId="0" borderId="14" xfId="0" applyFont="1" applyBorder="1" applyAlignment="1">
      <alignment wrapText="1"/>
    </xf>
    <xf numFmtId="0" fontId="0" fillId="0" borderId="15" xfId="0" applyBorder="1"/>
    <xf numFmtId="0" fontId="6" fillId="0" borderId="0" xfId="0" applyFont="1" applyAlignment="1">
      <alignment horizontal="center"/>
    </xf>
    <xf numFmtId="0" fontId="0" fillId="0" borderId="16" xfId="0" applyBorder="1"/>
    <xf numFmtId="0" fontId="0" fillId="0" borderId="17" xfId="0" applyBorder="1"/>
    <xf numFmtId="0" fontId="0" fillId="0" borderId="18" xfId="0" applyBorder="1"/>
    <xf numFmtId="0" fontId="0" fillId="0" borderId="2" xfId="0" applyBorder="1" applyAlignment="1">
      <alignment horizontal="center"/>
    </xf>
    <xf numFmtId="0" fontId="6" fillId="0" borderId="19" xfId="0" applyFont="1"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0" fillId="0" borderId="19" xfId="0" applyBorder="1" applyAlignment="1">
      <alignment horizontal="center"/>
    </xf>
    <xf numFmtId="0" fontId="0" fillId="0" borderId="22" xfId="0" applyBorder="1" applyAlignment="1">
      <alignment horizontal="center"/>
    </xf>
    <xf numFmtId="0" fontId="0" fillId="0" borderId="24" xfId="0" applyBorder="1" applyAlignment="1">
      <alignment horizontal="center"/>
    </xf>
    <xf numFmtId="0" fontId="4" fillId="0" borderId="1" xfId="0" applyFont="1" applyBorder="1" applyAlignment="1">
      <alignment horizontal="left" textRotation="90"/>
    </xf>
    <xf numFmtId="0" fontId="4" fillId="0" borderId="0" xfId="0" applyFont="1" applyAlignment="1">
      <alignment horizontal="center"/>
    </xf>
    <xf numFmtId="0" fontId="4" fillId="2" borderId="1" xfId="0" applyFont="1" applyFill="1" applyBorder="1" applyAlignment="1">
      <alignment horizontal="center" vertical="center"/>
    </xf>
    <xf numFmtId="0" fontId="4" fillId="3" borderId="0" xfId="0" applyFont="1" applyFill="1" applyAlignment="1">
      <alignment horizontal="center" vertical="center"/>
    </xf>
    <xf numFmtId="0" fontId="4" fillId="4" borderId="0" xfId="0" applyFont="1" applyFill="1" applyAlignment="1">
      <alignment horizontal="center" vertical="center"/>
    </xf>
    <xf numFmtId="0" fontId="0" fillId="0" borderId="16" xfId="0" applyBorder="1" applyAlignment="1">
      <alignment horizontal="center" vertical="center"/>
    </xf>
    <xf numFmtId="0" fontId="0" fillId="0" borderId="16" xfId="0" applyBorder="1" applyAlignment="1">
      <alignment horizontal="center"/>
    </xf>
    <xf numFmtId="0" fontId="4" fillId="2" borderId="0" xfId="0" applyFont="1" applyFill="1" applyAlignment="1">
      <alignment horizontal="center" vertical="center"/>
    </xf>
    <xf numFmtId="0" fontId="4" fillId="2" borderId="38" xfId="0" applyFont="1" applyFill="1" applyBorder="1" applyAlignment="1">
      <alignment horizontal="center" vertical="center"/>
    </xf>
    <xf numFmtId="0" fontId="4" fillId="2" borderId="39" xfId="0" applyFont="1" applyFill="1" applyBorder="1" applyAlignment="1">
      <alignment horizontal="center" vertical="center"/>
    </xf>
    <xf numFmtId="0" fontId="4" fillId="3" borderId="39" xfId="0" applyFont="1" applyFill="1" applyBorder="1" applyAlignment="1">
      <alignment horizontal="center" vertical="center"/>
    </xf>
    <xf numFmtId="0" fontId="4" fillId="4" borderId="40" xfId="0" applyFont="1" applyFill="1" applyBorder="1" applyAlignment="1">
      <alignment horizontal="center" vertical="center"/>
    </xf>
    <xf numFmtId="0" fontId="0" fillId="0" borderId="38" xfId="0" applyBorder="1" applyAlignment="1">
      <alignment horizontal="center"/>
    </xf>
    <xf numFmtId="0" fontId="4" fillId="0" borderId="39" xfId="0" applyFont="1" applyBorder="1" applyAlignment="1">
      <alignment horizontal="center"/>
    </xf>
    <xf numFmtId="0" fontId="0" fillId="0" borderId="41" xfId="0" applyBorder="1" applyAlignment="1">
      <alignment horizontal="center"/>
    </xf>
    <xf numFmtId="0" fontId="0" fillId="5" borderId="42" xfId="0" applyFill="1" applyBorder="1"/>
    <xf numFmtId="0" fontId="0" fillId="5" borderId="43" xfId="0" applyFill="1" applyBorder="1" applyAlignment="1">
      <alignment horizontal="center"/>
    </xf>
    <xf numFmtId="0" fontId="0" fillId="5" borderId="44" xfId="0" applyFill="1" applyBorder="1" applyAlignment="1">
      <alignment horizontal="center"/>
    </xf>
    <xf numFmtId="0" fontId="0" fillId="5" borderId="44" xfId="0" applyFill="1" applyBorder="1"/>
    <xf numFmtId="0" fontId="0" fillId="5" borderId="45" xfId="0" applyFill="1" applyBorder="1"/>
    <xf numFmtId="0" fontId="4" fillId="5" borderId="43" xfId="0" applyFont="1" applyFill="1" applyBorder="1" applyAlignment="1">
      <alignment horizontal="center" vertical="center"/>
    </xf>
    <xf numFmtId="0" fontId="0" fillId="5" borderId="44" xfId="0" applyFill="1" applyBorder="1" applyAlignment="1">
      <alignment horizontal="center" vertical="center"/>
    </xf>
    <xf numFmtId="0" fontId="0" fillId="5" borderId="46" xfId="0" applyFill="1" applyBorder="1" applyAlignment="1">
      <alignment horizontal="center"/>
    </xf>
    <xf numFmtId="0" fontId="4" fillId="5" borderId="44" xfId="0" applyFont="1" applyFill="1" applyBorder="1" applyAlignment="1">
      <alignment horizontal="center"/>
    </xf>
    <xf numFmtId="0" fontId="0" fillId="5" borderId="47" xfId="0" applyFill="1" applyBorder="1" applyAlignment="1">
      <alignment horizontal="center"/>
    </xf>
    <xf numFmtId="0" fontId="0" fillId="5" borderId="48" xfId="0" applyFill="1" applyBorder="1" applyAlignment="1">
      <alignment horizontal="center"/>
    </xf>
    <xf numFmtId="9" fontId="8" fillId="5" borderId="46" xfId="0" applyNumberFormat="1" applyFont="1" applyFill="1" applyBorder="1" applyAlignment="1">
      <alignment horizontal="center" vertical="center"/>
    </xf>
    <xf numFmtId="1" fontId="8" fillId="5" borderId="47" xfId="0" applyNumberFormat="1" applyFont="1" applyFill="1" applyBorder="1" applyAlignment="1">
      <alignment horizontal="center" vertical="center"/>
    </xf>
    <xf numFmtId="0" fontId="0" fillId="5" borderId="49" xfId="0" applyFill="1" applyBorder="1" applyAlignment="1">
      <alignment horizontal="center" vertical="center"/>
    </xf>
    <xf numFmtId="0" fontId="0" fillId="5" borderId="44" xfId="0" applyFill="1" applyBorder="1" applyAlignment="1">
      <alignment vertical="center" wrapText="1"/>
    </xf>
    <xf numFmtId="0" fontId="0" fillId="5" borderId="46" xfId="0" applyFill="1" applyBorder="1" applyAlignment="1">
      <alignment vertical="center"/>
    </xf>
    <xf numFmtId="0" fontId="0" fillId="5" borderId="48" xfId="0" applyFill="1" applyBorder="1" applyAlignment="1">
      <alignment vertical="center"/>
    </xf>
    <xf numFmtId="0" fontId="0" fillId="5" borderId="44" xfId="0" applyFill="1" applyBorder="1" applyAlignment="1">
      <alignment vertical="center"/>
    </xf>
    <xf numFmtId="0" fontId="0" fillId="5" borderId="50" xfId="0" applyFill="1" applyBorder="1" applyAlignment="1">
      <alignment vertical="center"/>
    </xf>
    <xf numFmtId="0" fontId="0" fillId="0" borderId="15" xfId="0" applyBorder="1"/>
    <xf numFmtId="0" fontId="0" fillId="0" borderId="40" xfId="0" applyBorder="1"/>
    <xf numFmtId="0" fontId="0" fillId="0" borderId="17" xfId="0" applyBorder="1"/>
    <xf numFmtId="0" fontId="2" fillId="0" borderId="4" xfId="0" applyFont="1" applyBorder="1" applyAlignment="1">
      <alignment horizontal="center"/>
    </xf>
    <xf numFmtId="0" fontId="0" fillId="0" borderId="56" xfId="0" applyBorder="1"/>
    <xf numFmtId="0" fontId="0" fillId="0" borderId="36" xfId="0" applyBorder="1"/>
    <xf numFmtId="0" fontId="0" fillId="0" borderId="28" xfId="0" applyBorder="1" applyAlignment="1">
      <alignment horizontal="center" vertical="center"/>
    </xf>
    <xf numFmtId="0" fontId="0" fillId="0" borderId="37" xfId="0" applyBorder="1"/>
    <xf numFmtId="0" fontId="0" fillId="0" borderId="18" xfId="0" applyBorder="1"/>
    <xf numFmtId="0" fontId="0" fillId="0" borderId="59" xfId="0" applyBorder="1"/>
    <xf numFmtId="0" fontId="4" fillId="0" borderId="30" xfId="0" applyFont="1" applyBorder="1" applyAlignment="1">
      <alignment horizontal="center" vertical="center"/>
    </xf>
    <xf numFmtId="0" fontId="0" fillId="0" borderId="58" xfId="0" applyBorder="1"/>
    <xf numFmtId="0" fontId="0" fillId="0" borderId="25" xfId="0" applyBorder="1"/>
    <xf numFmtId="0" fontId="4" fillId="0" borderId="2" xfId="0" applyFont="1" applyBorder="1" applyAlignment="1">
      <alignment textRotation="90" wrapText="1"/>
    </xf>
    <xf numFmtId="0" fontId="0" fillId="0" borderId="52" xfId="0" applyBorder="1"/>
    <xf numFmtId="0" fontId="0" fillId="0" borderId="53" xfId="0" applyBorder="1"/>
    <xf numFmtId="0" fontId="2" fillId="0" borderId="3" xfId="0" applyFont="1" applyBorder="1" applyAlignment="1">
      <alignment horizontal="center"/>
    </xf>
    <xf numFmtId="0" fontId="0" fillId="0" borderId="39" xfId="0" applyBorder="1"/>
    <xf numFmtId="0" fontId="0" fillId="0" borderId="30" xfId="0" applyBorder="1" applyAlignment="1">
      <alignment horizontal="center" vertical="center"/>
    </xf>
    <xf numFmtId="0" fontId="0" fillId="0" borderId="31" xfId="0" applyBorder="1" applyAlignment="1">
      <alignment horizontal="center" vertical="center"/>
    </xf>
    <xf numFmtId="0" fontId="0" fillId="0" borderId="1" xfId="0" applyBorder="1"/>
    <xf numFmtId="0" fontId="0" fillId="0" borderId="38" xfId="0" applyBorder="1"/>
    <xf numFmtId="165" fontId="3" fillId="0" borderId="0" xfId="0" applyNumberFormat="1" applyFont="1" applyAlignment="1">
      <alignment horizontal="right"/>
    </xf>
    <xf numFmtId="0" fontId="0" fillId="0" borderId="0" xfId="0"/>
    <xf numFmtId="1" fontId="0" fillId="0" borderId="33" xfId="0" applyNumberFormat="1" applyBorder="1" applyAlignment="1">
      <alignment horizontal="center" vertical="center"/>
    </xf>
    <xf numFmtId="0" fontId="0" fillId="0" borderId="37" xfId="0" applyBorder="1" applyAlignment="1">
      <alignment horizontal="center" vertical="center"/>
    </xf>
    <xf numFmtId="0" fontId="4" fillId="0" borderId="39" xfId="0" applyFont="1" applyBorder="1" applyAlignment="1">
      <alignment horizontal="center"/>
    </xf>
    <xf numFmtId="0" fontId="5" fillId="0" borderId="2" xfId="0" applyFont="1" applyBorder="1" applyAlignment="1">
      <alignment horizontal="center"/>
    </xf>
    <xf numFmtId="0" fontId="0" fillId="0" borderId="24" xfId="0" applyBorder="1"/>
    <xf numFmtId="0" fontId="0" fillId="0" borderId="55" xfId="0" applyBorder="1"/>
    <xf numFmtId="0" fontId="0" fillId="0" borderId="4" xfId="0" applyBorder="1" applyAlignment="1">
      <alignment horizontal="center" vertical="center"/>
    </xf>
    <xf numFmtId="0" fontId="0" fillId="0" borderId="3" xfId="0" applyBorder="1"/>
    <xf numFmtId="0" fontId="0" fillId="0" borderId="26" xfId="0" applyBorder="1" applyAlignment="1">
      <alignment horizontal="center" vertical="center"/>
    </xf>
    <xf numFmtId="0" fontId="4" fillId="0" borderId="1" xfId="0" applyFont="1" applyBorder="1" applyAlignment="1">
      <alignment horizontal="left" textRotation="90"/>
    </xf>
    <xf numFmtId="0" fontId="0" fillId="0" borderId="16" xfId="0" applyBorder="1"/>
    <xf numFmtId="0" fontId="0" fillId="0" borderId="41" xfId="0" applyBorder="1"/>
    <xf numFmtId="0" fontId="3" fillId="0" borderId="0" xfId="0" applyFont="1" applyAlignment="1">
      <alignment horizontal="right"/>
    </xf>
    <xf numFmtId="1" fontId="0" fillId="0" borderId="51" xfId="0" applyNumberFormat="1" applyBorder="1" applyAlignment="1">
      <alignment horizontal="center" vertical="center"/>
    </xf>
    <xf numFmtId="0" fontId="0" fillId="0" borderId="23" xfId="0" applyBorder="1" applyAlignment="1">
      <alignment horizontal="center"/>
    </xf>
    <xf numFmtId="9" fontId="0" fillId="0" borderId="32" xfId="0" applyNumberFormat="1" applyBorder="1" applyAlignment="1">
      <alignment horizontal="center" vertical="center"/>
    </xf>
    <xf numFmtId="0" fontId="0" fillId="0" borderId="2" xfId="0" applyBorder="1" applyAlignment="1">
      <alignment horizontal="center"/>
    </xf>
    <xf numFmtId="0" fontId="0" fillId="0" borderId="25" xfId="0" applyBorder="1" applyAlignment="1">
      <alignment horizontal="center" vertical="center"/>
    </xf>
    <xf numFmtId="0" fontId="4" fillId="0" borderId="9" xfId="0" applyFont="1" applyBorder="1" applyAlignment="1">
      <alignment horizontal="center" wrapText="1"/>
    </xf>
    <xf numFmtId="0" fontId="0" fillId="0" borderId="10" xfId="0" applyBorder="1"/>
    <xf numFmtId="0" fontId="0" fillId="0" borderId="8" xfId="0" applyBorder="1"/>
    <xf numFmtId="0" fontId="7" fillId="0" borderId="4" xfId="0" applyFont="1" applyBorder="1" applyAlignment="1">
      <alignment horizontal="center" wrapText="1"/>
    </xf>
    <xf numFmtId="0" fontId="0" fillId="0" borderId="60" xfId="0" applyBorder="1" applyAlignment="1">
      <alignment horizontal="center" vertical="center"/>
    </xf>
    <xf numFmtId="0" fontId="0" fillId="0" borderId="58"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59" xfId="0" applyBorder="1" applyAlignment="1">
      <alignment horizontal="center" vertical="center"/>
    </xf>
    <xf numFmtId="0" fontId="0" fillId="0" borderId="62" xfId="0" applyBorder="1" applyAlignment="1">
      <alignment horizontal="center" vertical="center"/>
    </xf>
    <xf numFmtId="0" fontId="0" fillId="0" borderId="18" xfId="0" applyBorder="1" applyAlignment="1">
      <alignment horizontal="center" vertical="center" wrapText="1"/>
    </xf>
    <xf numFmtId="0" fontId="0" fillId="0" borderId="59" xfId="0" applyBorder="1" applyAlignment="1">
      <alignment horizontal="center" vertical="center" wrapText="1"/>
    </xf>
    <xf numFmtId="0" fontId="0" fillId="0" borderId="17" xfId="0" applyBorder="1" applyAlignment="1">
      <alignment horizontal="left" vertical="center" wrapText="1"/>
    </xf>
    <xf numFmtId="0" fontId="0" fillId="0" borderId="37" xfId="0" applyBorder="1" applyAlignment="1">
      <alignment horizontal="left" vertical="center" wrapText="1"/>
    </xf>
    <xf numFmtId="3" fontId="0" fillId="0" borderId="61" xfId="0" applyNumberFormat="1" applyBorder="1" applyAlignment="1">
      <alignment horizontal="center" vertical="center"/>
    </xf>
    <xf numFmtId="3" fontId="0" fillId="0" borderId="18" xfId="0" applyNumberFormat="1" applyBorder="1" applyAlignment="1">
      <alignment horizontal="center" vertical="center"/>
    </xf>
    <xf numFmtId="3" fontId="0" fillId="0" borderId="59" xfId="0" applyNumberFormat="1" applyBorder="1" applyAlignment="1">
      <alignment horizontal="center" vertical="center"/>
    </xf>
    <xf numFmtId="1" fontId="0" fillId="0" borderId="27" xfId="0" applyNumberFormat="1" applyBorder="1" applyAlignment="1">
      <alignment horizontal="center" vertical="center"/>
    </xf>
    <xf numFmtId="1" fontId="0" fillId="0" borderId="17" xfId="0" applyNumberFormat="1" applyBorder="1" applyAlignment="1">
      <alignment horizontal="center" vertical="center"/>
    </xf>
    <xf numFmtId="1" fontId="0" fillId="0" borderId="37" xfId="0" applyNumberFormat="1" applyBorder="1" applyAlignment="1">
      <alignment horizontal="center" vertical="center"/>
    </xf>
    <xf numFmtId="9" fontId="0" fillId="0" borderId="60" xfId="0" applyNumberFormat="1" applyBorder="1" applyAlignment="1">
      <alignment horizontal="center" vertical="center"/>
    </xf>
    <xf numFmtId="9" fontId="0" fillId="0" borderId="58" xfId="0" applyNumberFormat="1" applyBorder="1" applyAlignment="1">
      <alignment horizontal="center" vertical="center"/>
    </xf>
    <xf numFmtId="9" fontId="0" fillId="0" borderId="25" xfId="0" applyNumberFormat="1" applyBorder="1" applyAlignment="1">
      <alignment horizontal="center" vertical="center"/>
    </xf>
    <xf numFmtId="0" fontId="4" fillId="0" borderId="62" xfId="0" applyFont="1" applyBorder="1" applyAlignment="1">
      <alignment horizontal="center" vertical="center"/>
    </xf>
    <xf numFmtId="0" fontId="4" fillId="0" borderId="58" xfId="0" applyFont="1" applyBorder="1" applyAlignment="1">
      <alignment horizontal="center" vertical="center"/>
    </xf>
    <xf numFmtId="0" fontId="4" fillId="0" borderId="25" xfId="0" applyFont="1" applyBorder="1" applyAlignment="1">
      <alignment horizontal="center" vertical="center"/>
    </xf>
    <xf numFmtId="0" fontId="0" fillId="0" borderId="18" xfId="0" applyBorder="1" applyAlignment="1">
      <alignment vertical="center" wrapText="1"/>
    </xf>
    <xf numFmtId="0" fontId="0" fillId="0" borderId="59" xfId="0" applyBorder="1" applyAlignment="1">
      <alignment vertical="center" wrapText="1"/>
    </xf>
    <xf numFmtId="164" fontId="0" fillId="0" borderId="17" xfId="0" applyNumberFormat="1" applyBorder="1" applyAlignment="1">
      <alignment horizontal="center" vertical="center"/>
    </xf>
    <xf numFmtId="164" fontId="0" fillId="0" borderId="37" xfId="0" applyNumberFormat="1" applyBorder="1" applyAlignment="1">
      <alignment horizontal="center" vertical="center"/>
    </xf>
    <xf numFmtId="0" fontId="6" fillId="0" borderId="64" xfId="0" applyFont="1" applyBorder="1" applyAlignment="1">
      <alignment horizontal="center" vertical="center"/>
    </xf>
    <xf numFmtId="0" fontId="1" fillId="0" borderId="57" xfId="0" applyFont="1" applyBorder="1" applyAlignment="1">
      <alignment horizontal="center" vertical="center"/>
    </xf>
    <xf numFmtId="0" fontId="1" fillId="0" borderId="65" xfId="0" applyFont="1" applyBorder="1" applyAlignment="1">
      <alignment horizontal="center" vertical="center"/>
    </xf>
    <xf numFmtId="0" fontId="1" fillId="0" borderId="0" xfId="0" applyFont="1" applyAlignment="1">
      <alignment horizontal="center" vertical="center" wrapText="1"/>
    </xf>
    <xf numFmtId="0" fontId="1" fillId="0" borderId="39" xfId="0" applyFont="1" applyBorder="1" applyAlignment="1">
      <alignment horizontal="center" vertical="center" wrapText="1"/>
    </xf>
    <xf numFmtId="0" fontId="1" fillId="0" borderId="63" xfId="0" applyFont="1" applyBorder="1" applyAlignment="1">
      <alignment horizontal="center" vertical="center"/>
    </xf>
    <xf numFmtId="0" fontId="1" fillId="0" borderId="1" xfId="0" applyFont="1" applyBorder="1" applyAlignment="1">
      <alignment horizontal="center" vertical="center"/>
    </xf>
    <xf numFmtId="0" fontId="1" fillId="0" borderId="38" xfId="0" applyFont="1" applyBorder="1" applyAlignment="1">
      <alignment horizontal="center" vertical="center"/>
    </xf>
    <xf numFmtId="0" fontId="6" fillId="0" borderId="62" xfId="0" applyFont="1" applyBorder="1" applyAlignment="1">
      <alignment horizontal="center" vertical="center"/>
    </xf>
    <xf numFmtId="0" fontId="6" fillId="0" borderId="58" xfId="0"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left" vertical="center" wrapText="1"/>
    </xf>
    <xf numFmtId="0" fontId="6" fillId="0" borderId="61" xfId="0" applyFont="1" applyBorder="1" applyAlignment="1">
      <alignment vertical="center" wrapText="1"/>
    </xf>
    <xf numFmtId="0" fontId="6" fillId="0" borderId="27" xfId="0" applyFont="1" applyBorder="1" applyAlignment="1">
      <alignment horizontal="left" vertical="center" wrapText="1"/>
    </xf>
    <xf numFmtId="0" fontId="6" fillId="0" borderId="61" xfId="0" applyFont="1" applyBorder="1" applyAlignment="1">
      <alignment horizontal="center" vertical="center" wrapText="1"/>
    </xf>
    <xf numFmtId="0" fontId="6" fillId="0" borderId="26" xfId="0" applyFont="1" applyBorder="1" applyAlignment="1">
      <alignment horizontal="center" vertical="center"/>
    </xf>
    <xf numFmtId="0" fontId="6" fillId="0" borderId="61" xfId="0" applyFont="1" applyBorder="1" applyAlignment="1">
      <alignment horizontal="center" vertical="center"/>
    </xf>
    <xf numFmtId="164" fontId="6" fillId="0" borderId="27" xfId="0" applyNumberFormat="1" applyFont="1" applyBorder="1" applyAlignment="1">
      <alignment horizontal="center" vertical="center" wrapText="1"/>
    </xf>
    <xf numFmtId="164" fontId="6" fillId="0" borderId="28" xfId="0" applyNumberFormat="1" applyFont="1" applyBorder="1" applyAlignment="1">
      <alignment horizontal="center" vertical="center"/>
    </xf>
    <xf numFmtId="0" fontId="6" fillId="0" borderId="28" xfId="0" applyFont="1" applyBorder="1" applyAlignment="1">
      <alignment horizontal="left" vertical="center" wrapText="1"/>
    </xf>
    <xf numFmtId="0" fontId="6" fillId="0" borderId="29" xfId="0" applyFont="1" applyBorder="1" applyAlignment="1">
      <alignment vertical="center" wrapText="1"/>
    </xf>
    <xf numFmtId="0" fontId="6" fillId="0" borderId="66" xfId="0" applyFont="1" applyBorder="1" applyAlignment="1">
      <alignment vertical="center" wrapText="1"/>
    </xf>
    <xf numFmtId="0" fontId="6" fillId="0" borderId="21" xfId="0" applyFont="1" applyBorder="1" applyAlignment="1">
      <alignment horizontal="center"/>
    </xf>
    <xf numFmtId="0" fontId="6" fillId="0" borderId="30" xfId="0" applyFont="1" applyBorder="1" applyAlignment="1">
      <alignment horizontal="center" vertical="center"/>
    </xf>
    <xf numFmtId="0" fontId="6" fillId="0" borderId="34" xfId="0" applyFont="1" applyBorder="1" applyAlignment="1">
      <alignment horizontal="left" vertical="center" wrapText="1"/>
    </xf>
    <xf numFmtId="0" fontId="6" fillId="0" borderId="29" xfId="0" applyFont="1" applyBorder="1" applyAlignment="1">
      <alignment horizontal="center" vertical="center" wrapText="1"/>
    </xf>
    <xf numFmtId="0" fontId="6" fillId="0" borderId="35" xfId="0" applyFont="1" applyBorder="1" applyAlignment="1">
      <alignment horizontal="center" vertical="center"/>
    </xf>
    <xf numFmtId="0" fontId="6" fillId="0" borderId="28" xfId="0" applyFont="1" applyBorder="1" applyAlignment="1">
      <alignment horizontal="center" vertical="center"/>
    </xf>
    <xf numFmtId="0" fontId="6" fillId="0" borderId="36" xfId="0" applyFont="1" applyBorder="1" applyAlignment="1">
      <alignment horizontal="center" vertical="center"/>
    </xf>
    <xf numFmtId="0" fontId="6" fillId="0" borderId="54"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L998"/>
  <sheetViews>
    <sheetView tabSelected="1" topLeftCell="A80" zoomScaleNormal="100" workbookViewId="0">
      <selection activeCell="AB103" sqref="AB103"/>
    </sheetView>
  </sheetViews>
  <sheetFormatPr defaultColWidth="9" defaultRowHeight="12.75" customHeight="1" x14ac:dyDescent="0.25"/>
  <cols>
    <col min="1" max="1" width="2.88671875" customWidth="1"/>
    <col min="2" max="2" width="3.5546875" customWidth="1"/>
    <col min="3" max="3" width="11.44140625" customWidth="1"/>
    <col min="4" max="4" width="4.21875" customWidth="1"/>
    <col min="5" max="6" width="14.109375" customWidth="1"/>
    <col min="7" max="7" width="24.88671875" customWidth="1"/>
    <col min="8" max="8" width="32.44140625" customWidth="1"/>
    <col min="9" max="9" width="10.21875" style="1" customWidth="1"/>
    <col min="10" max="10" width="11.5546875" customWidth="1"/>
    <col min="11" max="11" width="10.44140625" customWidth="1"/>
    <col min="12" max="13" width="2.88671875" customWidth="1"/>
    <col min="14" max="16" width="4" customWidth="1"/>
    <col min="17" max="17" width="3.44140625" customWidth="1"/>
    <col min="18" max="18" width="7.88671875" customWidth="1"/>
    <col min="19" max="19" width="9.109375" hidden="1" customWidth="1"/>
    <col min="20" max="20" width="12.21875" customWidth="1"/>
    <col min="21" max="21" width="9.5546875" customWidth="1"/>
    <col min="22" max="22" width="12.21875" customWidth="1"/>
    <col min="23" max="23" width="11.6640625" style="2" customWidth="1"/>
    <col min="24" max="24" width="34.21875" customWidth="1"/>
    <col min="25" max="25" width="16.5546875" customWidth="1"/>
    <col min="26" max="26" width="15.6640625" style="2" customWidth="1"/>
    <col min="27" max="27" width="17" customWidth="1"/>
    <col min="28" max="28" width="28.5546875" customWidth="1"/>
    <col min="29" max="29" width="9.109375" style="2" customWidth="1"/>
    <col min="32" max="32" width="45.5546875" hidden="1" customWidth="1"/>
  </cols>
  <sheetData>
    <row r="1" spans="1:38" ht="12.75" customHeight="1" x14ac:dyDescent="0.25">
      <c r="I1" s="3"/>
      <c r="W1"/>
      <c r="Z1"/>
      <c r="AC1"/>
    </row>
    <row r="2" spans="1:38" ht="30" customHeight="1" x14ac:dyDescent="0.3">
      <c r="C2" s="4"/>
      <c r="D2" s="109"/>
      <c r="E2" s="96"/>
      <c r="F2" s="5"/>
      <c r="G2" s="6"/>
      <c r="I2" s="3"/>
      <c r="W2"/>
      <c r="Z2"/>
      <c r="AC2"/>
    </row>
    <row r="3" spans="1:38" ht="30" customHeight="1" x14ac:dyDescent="0.3">
      <c r="C3" s="4"/>
      <c r="D3" s="109"/>
      <c r="E3" s="96"/>
      <c r="F3" s="5"/>
      <c r="G3" s="6"/>
      <c r="I3" s="3"/>
      <c r="W3"/>
      <c r="Z3"/>
      <c r="AC3"/>
    </row>
    <row r="4" spans="1:38" ht="30" customHeight="1" x14ac:dyDescent="0.3">
      <c r="C4" s="4" t="s">
        <v>0</v>
      </c>
      <c r="D4" s="95">
        <v>46023</v>
      </c>
      <c r="E4" s="96"/>
      <c r="F4" s="5"/>
      <c r="G4" s="6"/>
      <c r="I4" s="3"/>
      <c r="W4"/>
      <c r="Z4"/>
      <c r="AC4"/>
    </row>
    <row r="5" spans="1:38" ht="30" customHeight="1" x14ac:dyDescent="0.3">
      <c r="C5" s="4" t="s">
        <v>1</v>
      </c>
      <c r="D5" s="7"/>
      <c r="E5" s="5" t="s">
        <v>2</v>
      </c>
      <c r="F5" s="5" t="s">
        <v>3</v>
      </c>
      <c r="G5" s="8"/>
      <c r="I5" s="3"/>
      <c r="W5"/>
      <c r="Z5"/>
      <c r="AC5"/>
    </row>
    <row r="6" spans="1:38" ht="13.5" customHeight="1" thickBot="1" x14ac:dyDescent="0.3">
      <c r="C6" s="9"/>
      <c r="D6" s="10"/>
      <c r="E6" s="11"/>
      <c r="F6" s="11"/>
      <c r="I6" s="3"/>
      <c r="W6"/>
      <c r="Z6"/>
      <c r="AC6"/>
      <c r="AF6" t="s">
        <v>4</v>
      </c>
    </row>
    <row r="7" spans="1:38" ht="25.5" customHeight="1" thickBot="1" x14ac:dyDescent="0.45">
      <c r="B7" s="86" t="s">
        <v>5</v>
      </c>
      <c r="C7" s="100" t="s">
        <v>6</v>
      </c>
      <c r="D7" s="101"/>
      <c r="E7" s="101"/>
      <c r="F7" s="101"/>
      <c r="G7" s="101"/>
      <c r="H7" s="101"/>
      <c r="I7" s="101"/>
      <c r="J7" s="101"/>
      <c r="K7" s="101"/>
      <c r="L7" s="101"/>
      <c r="M7" s="101"/>
      <c r="N7" s="101"/>
      <c r="O7" s="101"/>
      <c r="P7" s="101"/>
      <c r="Q7" s="101"/>
      <c r="R7" s="101"/>
      <c r="S7" s="101"/>
      <c r="T7" s="101"/>
      <c r="U7" s="101"/>
      <c r="V7" s="101"/>
      <c r="W7" s="101"/>
      <c r="X7" s="101"/>
      <c r="Y7" s="101"/>
      <c r="Z7" s="101"/>
      <c r="AA7" s="101"/>
      <c r="AB7" s="102"/>
      <c r="AF7" s="12" t="s">
        <v>7</v>
      </c>
    </row>
    <row r="8" spans="1:38" ht="31.5" customHeight="1" x14ac:dyDescent="0.3">
      <c r="B8" s="87"/>
      <c r="C8" s="89" t="s">
        <v>8</v>
      </c>
      <c r="D8" s="90"/>
      <c r="E8" s="90"/>
      <c r="F8" s="90"/>
      <c r="G8" s="90"/>
      <c r="H8" s="74"/>
      <c r="I8" s="76" t="s">
        <v>9</v>
      </c>
      <c r="J8" s="77"/>
      <c r="K8" s="77"/>
      <c r="L8" s="77"/>
      <c r="M8" s="77"/>
      <c r="N8" s="77"/>
      <c r="O8" s="77"/>
      <c r="P8" s="77"/>
      <c r="Q8" s="77"/>
      <c r="R8" s="78"/>
      <c r="S8" s="118" t="s">
        <v>10</v>
      </c>
      <c r="T8" s="77"/>
      <c r="U8" s="77"/>
      <c r="V8" s="78"/>
      <c r="W8" s="89" t="s">
        <v>11</v>
      </c>
      <c r="X8" s="90"/>
      <c r="Y8" s="74"/>
      <c r="Z8" s="89" t="s">
        <v>12</v>
      </c>
      <c r="AA8" s="90"/>
      <c r="AB8" s="74"/>
      <c r="AC8"/>
      <c r="AF8" s="12" t="s">
        <v>13</v>
      </c>
    </row>
    <row r="9" spans="1:38" ht="45.75" customHeight="1" thickBot="1" x14ac:dyDescent="0.3">
      <c r="A9" s="13"/>
      <c r="B9" s="88"/>
      <c r="C9" s="14" t="s">
        <v>14</v>
      </c>
      <c r="D9" s="15" t="s">
        <v>15</v>
      </c>
      <c r="E9" s="15" t="s">
        <v>16</v>
      </c>
      <c r="F9" s="16" t="s">
        <v>17</v>
      </c>
      <c r="G9" s="15" t="s">
        <v>18</v>
      </c>
      <c r="H9" s="17" t="s">
        <v>19</v>
      </c>
      <c r="I9" s="18" t="s">
        <v>20</v>
      </c>
      <c r="J9" s="19" t="s">
        <v>21</v>
      </c>
      <c r="K9" s="19" t="s">
        <v>22</v>
      </c>
      <c r="L9" s="115" t="s">
        <v>23</v>
      </c>
      <c r="M9" s="116"/>
      <c r="N9" s="116"/>
      <c r="O9" s="116"/>
      <c r="P9" s="116"/>
      <c r="Q9" s="116"/>
      <c r="R9" s="117"/>
      <c r="S9" s="20"/>
      <c r="T9" s="14" t="s">
        <v>24</v>
      </c>
      <c r="U9" s="21" t="s">
        <v>25</v>
      </c>
      <c r="V9" s="20" t="s">
        <v>26</v>
      </c>
      <c r="W9" s="22" t="s">
        <v>27</v>
      </c>
      <c r="X9" s="23" t="s">
        <v>28</v>
      </c>
      <c r="Y9" s="24" t="s">
        <v>29</v>
      </c>
      <c r="Z9" s="22" t="s">
        <v>30</v>
      </c>
      <c r="AA9" s="25" t="s">
        <v>31</v>
      </c>
      <c r="AB9" s="26" t="s">
        <v>32</v>
      </c>
      <c r="AC9" s="13"/>
      <c r="AD9" s="13"/>
      <c r="AE9" s="13"/>
      <c r="AF9" s="12" t="s">
        <v>33</v>
      </c>
      <c r="AG9" s="13"/>
      <c r="AH9" s="13"/>
      <c r="AI9" s="13"/>
      <c r="AJ9" s="13"/>
      <c r="AK9" s="13"/>
      <c r="AL9" s="13"/>
    </row>
    <row r="10" spans="1:38" ht="24" hidden="1" customHeight="1" x14ac:dyDescent="0.3">
      <c r="A10" s="27"/>
      <c r="C10" s="28" t="s">
        <v>34</v>
      </c>
      <c r="E10" t="s">
        <v>35</v>
      </c>
      <c r="I10" s="1" t="s">
        <v>36</v>
      </c>
      <c r="J10" t="s">
        <v>37</v>
      </c>
      <c r="K10" t="s">
        <v>37</v>
      </c>
      <c r="T10">
        <v>0.9</v>
      </c>
      <c r="W10" s="2" t="s">
        <v>38</v>
      </c>
      <c r="Z10" s="29"/>
      <c r="AA10" s="30"/>
      <c r="AB10" s="27"/>
      <c r="AC10"/>
      <c r="AF10" s="12" t="s">
        <v>39</v>
      </c>
    </row>
    <row r="11" spans="1:38" ht="18.75" hidden="1" customHeight="1" x14ac:dyDescent="0.3">
      <c r="A11" s="27"/>
      <c r="C11" s="28" t="s">
        <v>40</v>
      </c>
      <c r="E11" t="s">
        <v>41</v>
      </c>
      <c r="I11" s="1" t="s">
        <v>42</v>
      </c>
      <c r="J11" t="s">
        <v>43</v>
      </c>
      <c r="K11" t="s">
        <v>43</v>
      </c>
      <c r="T11">
        <v>0.7</v>
      </c>
      <c r="W11" s="2" t="s">
        <v>44</v>
      </c>
      <c r="Z11" s="29"/>
      <c r="AA11" s="2"/>
      <c r="AB11" s="31"/>
      <c r="AC11"/>
      <c r="AF11" s="12" t="s">
        <v>45</v>
      </c>
    </row>
    <row r="12" spans="1:38" ht="18.75" hidden="1" customHeight="1" x14ac:dyDescent="0.3">
      <c r="A12" s="27"/>
      <c r="C12" s="28" t="s">
        <v>46</v>
      </c>
      <c r="E12" t="s">
        <v>47</v>
      </c>
      <c r="I12" s="1" t="s">
        <v>48</v>
      </c>
      <c r="J12" t="s">
        <v>49</v>
      </c>
      <c r="K12" t="s">
        <v>49</v>
      </c>
      <c r="T12">
        <v>0.5</v>
      </c>
      <c r="W12" s="2" t="s">
        <v>50</v>
      </c>
      <c r="Z12" s="29"/>
      <c r="AA12" s="2"/>
      <c r="AB12" s="31"/>
      <c r="AC12"/>
      <c r="AF12" s="12" t="s">
        <v>51</v>
      </c>
    </row>
    <row r="13" spans="1:38" ht="18.75" hidden="1" customHeight="1" x14ac:dyDescent="0.3">
      <c r="A13" s="27"/>
      <c r="C13" s="28"/>
      <c r="E13" t="s">
        <v>52</v>
      </c>
      <c r="I13" s="1" t="s">
        <v>53</v>
      </c>
      <c r="J13" t="s">
        <v>54</v>
      </c>
      <c r="K13" t="s">
        <v>54</v>
      </c>
      <c r="T13">
        <v>0.3</v>
      </c>
      <c r="W13" s="2" t="s">
        <v>55</v>
      </c>
      <c r="Z13" s="29"/>
      <c r="AA13" s="2"/>
      <c r="AB13" s="31"/>
      <c r="AC13"/>
      <c r="AF13" s="12" t="s">
        <v>56</v>
      </c>
    </row>
    <row r="14" spans="1:38" ht="18.75" hidden="1" customHeight="1" x14ac:dyDescent="0.3">
      <c r="A14" s="27"/>
      <c r="C14" s="28"/>
      <c r="J14" t="s">
        <v>57</v>
      </c>
      <c r="K14" t="s">
        <v>57</v>
      </c>
      <c r="T14">
        <v>0.1</v>
      </c>
      <c r="W14" s="2" t="s">
        <v>58</v>
      </c>
      <c r="Z14" s="29"/>
      <c r="AA14" s="30"/>
      <c r="AB14" s="31"/>
      <c r="AC14"/>
      <c r="AF14" s="12" t="s">
        <v>59</v>
      </c>
    </row>
    <row r="15" spans="1:38" ht="12.75" customHeight="1" thickBot="1" x14ac:dyDescent="0.3">
      <c r="A15" s="3"/>
      <c r="B15" s="32" t="s">
        <v>60</v>
      </c>
      <c r="C15" s="33" t="s">
        <v>61</v>
      </c>
      <c r="D15" s="34" t="s">
        <v>62</v>
      </c>
      <c r="E15" s="34" t="s">
        <v>63</v>
      </c>
      <c r="F15" s="34" t="s">
        <v>64</v>
      </c>
      <c r="G15" s="34" t="s">
        <v>65</v>
      </c>
      <c r="H15" s="35" t="s">
        <v>66</v>
      </c>
      <c r="I15" s="36" t="s">
        <v>67</v>
      </c>
      <c r="J15" s="34" t="s">
        <v>68</v>
      </c>
      <c r="K15" s="37" t="s">
        <v>69</v>
      </c>
      <c r="L15" s="113" t="s">
        <v>70</v>
      </c>
      <c r="M15" s="101"/>
      <c r="N15" s="101"/>
      <c r="O15" s="101"/>
      <c r="P15" s="101"/>
      <c r="Q15" s="101"/>
      <c r="R15" s="102"/>
      <c r="S15" s="111" t="s">
        <v>71</v>
      </c>
      <c r="T15" s="101"/>
      <c r="U15" s="37" t="s">
        <v>72</v>
      </c>
      <c r="V15" s="167" t="s">
        <v>73</v>
      </c>
      <c r="W15" s="36" t="s">
        <v>74</v>
      </c>
      <c r="X15" s="34" t="s">
        <v>75</v>
      </c>
      <c r="Y15" s="35" t="s">
        <v>76</v>
      </c>
      <c r="Z15" s="38" t="s">
        <v>77</v>
      </c>
      <c r="AA15" s="34" t="s">
        <v>78</v>
      </c>
      <c r="AB15" s="35" t="s">
        <v>79</v>
      </c>
      <c r="AC15" s="3"/>
      <c r="AD15" s="3"/>
      <c r="AE15" s="3"/>
      <c r="AF15" s="12" t="s">
        <v>80</v>
      </c>
      <c r="AG15" s="3"/>
      <c r="AH15" s="3"/>
      <c r="AI15" s="3"/>
      <c r="AJ15" s="3"/>
      <c r="AK15" s="3"/>
      <c r="AL15" s="3"/>
    </row>
    <row r="16" spans="1:38" ht="18" customHeight="1" thickTop="1" x14ac:dyDescent="0.25">
      <c r="A16" s="3"/>
      <c r="B16" s="103"/>
      <c r="C16" s="153" t="s">
        <v>34</v>
      </c>
      <c r="D16" s="150" t="s">
        <v>92</v>
      </c>
      <c r="E16" s="174" t="s">
        <v>158</v>
      </c>
      <c r="F16" s="145" t="s">
        <v>93</v>
      </c>
      <c r="G16" s="156" t="s">
        <v>94</v>
      </c>
      <c r="H16" s="157" t="s">
        <v>95</v>
      </c>
      <c r="I16" s="138" t="s">
        <v>53</v>
      </c>
      <c r="J16" s="105" t="s">
        <v>49</v>
      </c>
      <c r="K16" s="105" t="s">
        <v>49</v>
      </c>
      <c r="L16" s="106" t="s">
        <v>21</v>
      </c>
      <c r="M16" s="40" t="s">
        <v>81</v>
      </c>
      <c r="N16" s="41" t="str">
        <f>IF(AND(K16="VERY LOW",J16="VERY HIGH")=TRUE(),"X"," ")</f>
        <v xml:space="preserve"> </v>
      </c>
      <c r="O16" s="42" t="str">
        <f>IF(AND(K16="LOW",J16="VERY HIGH")=TRUE(),"X"," ")</f>
        <v xml:space="preserve"> </v>
      </c>
      <c r="P16" s="43" t="str">
        <f>IF(AND(K16="MODERATE",J16="VERY HIGH")=TRUE(),"X"," ")</f>
        <v xml:space="preserve"> </v>
      </c>
      <c r="Q16" s="43" t="str">
        <f>IF(AND(K16="HIGH",J16="VERY HIGH")=TRUE(),"X"," ")</f>
        <v xml:space="preserve"> </v>
      </c>
      <c r="R16" s="43" t="str">
        <f>IF(AND(K16="VERY HIGH",J16="VERY HIGH")=TRUE(),"X"," ")</f>
        <v xml:space="preserve"> </v>
      </c>
      <c r="S16" s="44" t="e">
        <f>IF(J16=#REF!,#REF!,0)</f>
        <v>#REF!</v>
      </c>
      <c r="T16" s="135">
        <v>0.4</v>
      </c>
      <c r="U16" s="132">
        <v>2</v>
      </c>
      <c r="V16" s="129">
        <f>T16*U16</f>
        <v>0.8</v>
      </c>
      <c r="W16" s="124" t="s">
        <v>50</v>
      </c>
      <c r="X16" s="158" t="s">
        <v>96</v>
      </c>
      <c r="Y16" s="159" t="s">
        <v>97</v>
      </c>
      <c r="Z16" s="153" t="s">
        <v>98</v>
      </c>
      <c r="AA16" s="160" t="s">
        <v>99</v>
      </c>
      <c r="AB16" s="161" t="s">
        <v>169</v>
      </c>
      <c r="AC16" s="3"/>
      <c r="AD16" s="3"/>
      <c r="AE16" s="3"/>
      <c r="AF16" s="12" t="s">
        <v>82</v>
      </c>
      <c r="AG16" s="3"/>
      <c r="AH16" s="3"/>
      <c r="AI16" s="3"/>
      <c r="AJ16" s="3"/>
      <c r="AK16" s="3"/>
      <c r="AL16" s="3"/>
    </row>
    <row r="17" spans="1:38" ht="18" customHeight="1" x14ac:dyDescent="0.25">
      <c r="A17" s="3"/>
      <c r="B17" s="87"/>
      <c r="C17" s="154"/>
      <c r="D17" s="151"/>
      <c r="E17" s="148"/>
      <c r="F17" s="146"/>
      <c r="G17" s="127"/>
      <c r="H17" s="141"/>
      <c r="I17" s="139"/>
      <c r="J17" s="121"/>
      <c r="K17" s="121"/>
      <c r="L17" s="93"/>
      <c r="M17" s="40" t="s">
        <v>83</v>
      </c>
      <c r="N17" s="41" t="str">
        <f>IF(AND(K16="VERY LOW",J16="HIGH")=TRUE(),"X"," ")</f>
        <v xml:space="preserve"> </v>
      </c>
      <c r="O17" s="42" t="str">
        <f>IF(AND(K16="LOW",J16="HIGH")=TRUE(),"X"," ")</f>
        <v xml:space="preserve"> </v>
      </c>
      <c r="P17" s="43" t="str">
        <f>IF(AND(K16="MODERATE",J16="HIGH")=TRUE(),"X"," ")</f>
        <v xml:space="preserve"> </v>
      </c>
      <c r="Q17" s="43" t="str">
        <f>IF(AND(K16="HIGH",J16="HIGH")=TRUE(),"X"," ")</f>
        <v xml:space="preserve"> </v>
      </c>
      <c r="R17" s="43" t="str">
        <f>IF(AND(K16="VERY HIGH",J16="HIGH")=TRUE(),"X"," ")</f>
        <v xml:space="preserve"> </v>
      </c>
      <c r="S17" s="45" t="e">
        <f>IF(J16=#REF!,#REF!,0)</f>
        <v>#REF!</v>
      </c>
      <c r="T17" s="136"/>
      <c r="U17" s="133"/>
      <c r="V17" s="130"/>
      <c r="W17" s="120"/>
      <c r="X17" s="127"/>
      <c r="Y17" s="125"/>
      <c r="Z17" s="120"/>
      <c r="AA17" s="121"/>
      <c r="AB17" s="122"/>
      <c r="AC17" s="3"/>
      <c r="AD17" s="3"/>
      <c r="AE17" s="3"/>
      <c r="AF17" s="12"/>
      <c r="AG17" s="3"/>
      <c r="AH17" s="3"/>
      <c r="AI17" s="3"/>
      <c r="AJ17" s="3"/>
      <c r="AK17" s="3"/>
      <c r="AL17" s="3"/>
    </row>
    <row r="18" spans="1:38" ht="18" customHeight="1" x14ac:dyDescent="0.25">
      <c r="A18" s="3"/>
      <c r="B18" s="87"/>
      <c r="C18" s="154"/>
      <c r="D18" s="151"/>
      <c r="E18" s="148"/>
      <c r="F18" s="146"/>
      <c r="G18" s="127"/>
      <c r="H18" s="141"/>
      <c r="I18" s="139"/>
      <c r="J18" s="121"/>
      <c r="K18" s="121"/>
      <c r="L18" s="93"/>
      <c r="M18" s="40" t="s">
        <v>84</v>
      </c>
      <c r="N18" s="41" t="str">
        <f>IF(AND(K16="VERY LOW",J16="MODERATE")=TRUE(),"X"," ")</f>
        <v xml:space="preserve"> </v>
      </c>
      <c r="O18" s="46" t="str">
        <f>IF(AND(K16="LOW",J16="MODERATE")=TRUE(),"X"," ")</f>
        <v xml:space="preserve"> </v>
      </c>
      <c r="P18" s="42" t="str">
        <f>IF(AND(K16="MODERATE",J16="MODERATE")=TRUE(),"X"," ")</f>
        <v>X</v>
      </c>
      <c r="Q18" s="43" t="str">
        <f>IF(AND(K16="HIGH",J16="MODERATE")=TRUE(),"X"," ")</f>
        <v xml:space="preserve"> </v>
      </c>
      <c r="R18" s="43" t="str">
        <f>IF(AND(K16="VERY HIGH",J16="MODERATE")=TRUE(),"X"," ")</f>
        <v xml:space="preserve"> </v>
      </c>
      <c r="S18" s="45" t="e">
        <f>IF(J16=#REF!,#REF!,0)</f>
        <v>#REF!</v>
      </c>
      <c r="T18" s="136"/>
      <c r="U18" s="133"/>
      <c r="V18" s="130"/>
      <c r="W18" s="120"/>
      <c r="X18" s="127"/>
      <c r="Y18" s="125"/>
      <c r="Z18" s="120"/>
      <c r="AA18" s="121"/>
      <c r="AB18" s="122"/>
      <c r="AC18" s="3"/>
      <c r="AD18" s="3"/>
      <c r="AE18" s="3"/>
      <c r="AF18" s="12"/>
      <c r="AG18" s="3"/>
      <c r="AH18" s="3"/>
      <c r="AI18" s="3"/>
      <c r="AJ18" s="3"/>
      <c r="AK18" s="3"/>
      <c r="AL18" s="3"/>
    </row>
    <row r="19" spans="1:38" ht="18" customHeight="1" x14ac:dyDescent="0.25">
      <c r="A19" s="3"/>
      <c r="B19" s="87"/>
      <c r="C19" s="154"/>
      <c r="D19" s="151"/>
      <c r="E19" s="148"/>
      <c r="F19" s="146"/>
      <c r="G19" s="127"/>
      <c r="H19" s="141"/>
      <c r="I19" s="139"/>
      <c r="J19" s="121"/>
      <c r="K19" s="121"/>
      <c r="L19" s="93"/>
      <c r="M19" s="40" t="s">
        <v>85</v>
      </c>
      <c r="N19" s="41" t="str">
        <f>IF(AND(K16="VERY LOW",J16="LOW")=TRUE(),"X"," ")</f>
        <v xml:space="preserve"> </v>
      </c>
      <c r="O19" s="46" t="str">
        <f>IF(AND(K16="LOW",J16="LOW")=TRUE(),"X"," ")</f>
        <v xml:space="preserve"> </v>
      </c>
      <c r="P19" s="42" t="str">
        <f>IF(AND(K16="MODERATE",J16="LOW")=TRUE(),"X"," ")</f>
        <v xml:space="preserve"> </v>
      </c>
      <c r="Q19" s="43" t="str">
        <f>IF(AND(K16="HIGH",J16="LOW")=TRUE(),"X"," ")</f>
        <v xml:space="preserve"> </v>
      </c>
      <c r="R19" s="43" t="str">
        <f>IF(AND(K16="VERY HIGH",J16="LOW")=TRUE(),"X"," ")</f>
        <v xml:space="preserve"> </v>
      </c>
      <c r="S19" s="45" t="e">
        <f>IF(J16=#REF!,#REF!,0)</f>
        <v>#REF!</v>
      </c>
      <c r="T19" s="136"/>
      <c r="U19" s="133"/>
      <c r="V19" s="130"/>
      <c r="W19" s="120"/>
      <c r="X19" s="127"/>
      <c r="Y19" s="125"/>
      <c r="Z19" s="120"/>
      <c r="AA19" s="121"/>
      <c r="AB19" s="122"/>
      <c r="AC19" s="3"/>
      <c r="AD19" s="3"/>
      <c r="AE19" s="3"/>
      <c r="AF19" s="12" t="s">
        <v>86</v>
      </c>
      <c r="AG19" s="3"/>
      <c r="AH19" s="3"/>
      <c r="AI19" s="3"/>
      <c r="AJ19" s="3"/>
      <c r="AK19" s="3"/>
      <c r="AL19" s="3"/>
    </row>
    <row r="20" spans="1:38" ht="18" customHeight="1" x14ac:dyDescent="0.25">
      <c r="B20" s="87"/>
      <c r="C20" s="154"/>
      <c r="D20" s="151"/>
      <c r="E20" s="148"/>
      <c r="F20" s="146"/>
      <c r="G20" s="127"/>
      <c r="H20" s="141"/>
      <c r="I20" s="139"/>
      <c r="J20" s="121"/>
      <c r="K20" s="121"/>
      <c r="L20" s="93"/>
      <c r="M20" s="40" t="s">
        <v>87</v>
      </c>
      <c r="N20" s="47" t="str">
        <f>IF(AND(K16="VERY LOW",J16="VERY LOW")=TRUE(),"X"," ")</f>
        <v xml:space="preserve"> </v>
      </c>
      <c r="O20" s="48" t="str">
        <f>IF(AND(K16="LOW",J16="VERY LOW")=TRUE(),"X"," ")</f>
        <v xml:space="preserve"> </v>
      </c>
      <c r="P20" s="48" t="str">
        <f>IF(AND(K16="MODERATE",J16="VERY LOW")=TRUE(),"X"," ")</f>
        <v xml:space="preserve"> </v>
      </c>
      <c r="Q20" s="49" t="str">
        <f>IF(AND(K16="HIGH",J16="VERY LOW")=TRUE(),"X"," ")</f>
        <v xml:space="preserve"> </v>
      </c>
      <c r="R20" s="50" t="str">
        <f>IF(AND(K16="VERY HIGH",J16="VERY LOW")=TRUE(),"X"," ")</f>
        <v xml:space="preserve"> </v>
      </c>
      <c r="S20" s="3" t="e">
        <f>IF(J16=#REF!,#REF!,0)</f>
        <v>#REF!</v>
      </c>
      <c r="T20" s="136"/>
      <c r="U20" s="133"/>
      <c r="V20" s="130"/>
      <c r="W20" s="120"/>
      <c r="X20" s="127"/>
      <c r="Y20" s="125"/>
      <c r="Z20" s="120"/>
      <c r="AA20" s="121"/>
      <c r="AB20" s="122"/>
      <c r="AC20"/>
      <c r="AF20" s="12" t="s">
        <v>88</v>
      </c>
    </row>
    <row r="21" spans="1:38" ht="14.25" customHeight="1" x14ac:dyDescent="0.25">
      <c r="B21" s="87"/>
      <c r="C21" s="154"/>
      <c r="D21" s="151"/>
      <c r="E21" s="148"/>
      <c r="F21" s="146"/>
      <c r="G21" s="127"/>
      <c r="H21" s="141"/>
      <c r="I21" s="139"/>
      <c r="J21" s="121"/>
      <c r="K21" s="121"/>
      <c r="L21" s="39"/>
      <c r="M21" s="40"/>
      <c r="N21" s="40" t="s">
        <v>87</v>
      </c>
      <c r="O21" s="40" t="s">
        <v>85</v>
      </c>
      <c r="P21" s="40" t="s">
        <v>84</v>
      </c>
      <c r="Q21" s="40" t="s">
        <v>83</v>
      </c>
      <c r="R21" s="40" t="s">
        <v>81</v>
      </c>
      <c r="S21" s="45"/>
      <c r="T21" s="136"/>
      <c r="U21" s="133"/>
      <c r="V21" s="130"/>
      <c r="W21" s="120"/>
      <c r="X21" s="127"/>
      <c r="Y21" s="125"/>
      <c r="Z21" s="120"/>
      <c r="AA21" s="121"/>
      <c r="AB21" s="122"/>
      <c r="AC21"/>
      <c r="AF21" s="12" t="s">
        <v>89</v>
      </c>
    </row>
    <row r="22" spans="1:38" ht="11.25" customHeight="1" x14ac:dyDescent="0.25">
      <c r="B22" s="104"/>
      <c r="C22" s="155"/>
      <c r="D22" s="152"/>
      <c r="E22" s="149"/>
      <c r="F22" s="147"/>
      <c r="G22" s="128"/>
      <c r="H22" s="142"/>
      <c r="I22" s="140"/>
      <c r="J22" s="98"/>
      <c r="K22" s="98"/>
      <c r="L22" s="51"/>
      <c r="M22" s="52"/>
      <c r="N22" s="99" t="s">
        <v>22</v>
      </c>
      <c r="O22" s="90"/>
      <c r="P22" s="90"/>
      <c r="Q22" s="90"/>
      <c r="R22" s="90"/>
      <c r="S22" s="53"/>
      <c r="T22" s="137"/>
      <c r="U22" s="134"/>
      <c r="V22" s="131"/>
      <c r="W22" s="114"/>
      <c r="X22" s="128"/>
      <c r="Y22" s="126"/>
      <c r="Z22" s="114"/>
      <c r="AA22" s="98"/>
      <c r="AB22" s="123"/>
      <c r="AC22"/>
      <c r="AF22" s="12" t="s">
        <v>90</v>
      </c>
    </row>
    <row r="23" spans="1:38" ht="6.75" customHeight="1" thickBot="1" x14ac:dyDescent="0.3">
      <c r="A23" s="27"/>
      <c r="B23" s="54"/>
      <c r="C23" s="55"/>
      <c r="D23" s="56"/>
      <c r="E23" s="56"/>
      <c r="F23" s="56"/>
      <c r="G23" s="57"/>
      <c r="H23" s="58"/>
      <c r="I23" s="59"/>
      <c r="J23" s="60"/>
      <c r="K23" s="60"/>
      <c r="L23" s="61"/>
      <c r="M23" s="62"/>
      <c r="N23" s="61"/>
      <c r="O23" s="63"/>
      <c r="P23" s="63"/>
      <c r="Q23" s="63"/>
      <c r="R23" s="63"/>
      <c r="S23" s="64"/>
      <c r="T23" s="65"/>
      <c r="U23" s="66"/>
      <c r="V23" s="66"/>
      <c r="W23" s="67"/>
      <c r="X23" s="68"/>
      <c r="Y23" s="69"/>
      <c r="Z23" s="70"/>
      <c r="AA23" s="71"/>
      <c r="AB23" s="72"/>
      <c r="AC23"/>
      <c r="AF23" s="12" t="s">
        <v>91</v>
      </c>
    </row>
    <row r="24" spans="1:38" ht="18" customHeight="1" thickTop="1" x14ac:dyDescent="0.25">
      <c r="A24" s="3"/>
      <c r="B24" s="103"/>
      <c r="C24" s="119" t="s">
        <v>34</v>
      </c>
      <c r="D24" s="160" t="s">
        <v>100</v>
      </c>
      <c r="E24" s="162" t="s">
        <v>159</v>
      </c>
      <c r="F24" s="163" t="s">
        <v>93</v>
      </c>
      <c r="G24" s="164" t="s">
        <v>101</v>
      </c>
      <c r="H24" s="165" t="s">
        <v>102</v>
      </c>
      <c r="I24" s="83" t="s">
        <v>36</v>
      </c>
      <c r="J24" s="79" t="s">
        <v>49</v>
      </c>
      <c r="K24" s="92" t="s">
        <v>43</v>
      </c>
      <c r="L24" s="106" t="s">
        <v>21</v>
      </c>
      <c r="M24" s="40" t="s">
        <v>81</v>
      </c>
      <c r="N24" s="41" t="str">
        <f>IF(AND(K24="VERY LOW",J24="VERY HIGH")=TRUE(),"X"," ")</f>
        <v xml:space="preserve"> </v>
      </c>
      <c r="O24" s="42" t="str">
        <f>IF(AND(K24="LOW",J24="VERY HIGH")=TRUE(),"X"," ")</f>
        <v xml:space="preserve"> </v>
      </c>
      <c r="P24" s="43" t="str">
        <f>IF(AND(K24="MODERATE",J24="VERY HIGH")=TRUE(),"X"," ")</f>
        <v xml:space="preserve"> </v>
      </c>
      <c r="Q24" s="43" t="str">
        <f>IF(AND(K24="HIGH",J24="VERY HIGH")=TRUE(),"X"," ")</f>
        <v xml:space="preserve"> </v>
      </c>
      <c r="R24" s="43" t="str">
        <f>IF(AND(K24="VERY HIGH",J24="VERY HIGH")=TRUE(),"X"," ")</f>
        <v xml:space="preserve"> </v>
      </c>
      <c r="S24" s="44" t="e">
        <f>IF(J24=#REF!,#REF!,0)</f>
        <v>#REF!</v>
      </c>
      <c r="T24" s="112">
        <v>0.4</v>
      </c>
      <c r="U24" s="97">
        <v>5</v>
      </c>
      <c r="V24" s="110">
        <f>T24*U24</f>
        <v>2</v>
      </c>
      <c r="W24" s="91" t="s">
        <v>50</v>
      </c>
      <c r="X24" s="169" t="s">
        <v>103</v>
      </c>
      <c r="Y24" s="170" t="s">
        <v>104</v>
      </c>
      <c r="Z24" s="171" t="s">
        <v>105</v>
      </c>
      <c r="AA24" s="172" t="s">
        <v>99</v>
      </c>
      <c r="AB24" s="173" t="s">
        <v>170</v>
      </c>
      <c r="AC24" s="3"/>
      <c r="AD24" s="3"/>
      <c r="AE24" s="3"/>
      <c r="AF24" s="12" t="s">
        <v>82</v>
      </c>
      <c r="AG24" s="3"/>
      <c r="AH24" s="3"/>
      <c r="AI24" s="3"/>
      <c r="AJ24" s="3"/>
      <c r="AK24" s="3"/>
      <c r="AL24" s="3"/>
    </row>
    <row r="25" spans="1:38" ht="18" customHeight="1" x14ac:dyDescent="0.25">
      <c r="A25" s="3"/>
      <c r="B25" s="87"/>
      <c r="C25" s="120"/>
      <c r="D25" s="75"/>
      <c r="E25" s="143"/>
      <c r="F25" s="75"/>
      <c r="G25" s="75"/>
      <c r="H25" s="81"/>
      <c r="I25" s="84"/>
      <c r="J25" s="75"/>
      <c r="K25" s="93"/>
      <c r="L25" s="93"/>
      <c r="M25" s="40" t="s">
        <v>83</v>
      </c>
      <c r="N25" s="41" t="str">
        <f>IF(AND(K24="VERY LOW",J24="HIGH")=TRUE(),"X"," ")</f>
        <v xml:space="preserve"> </v>
      </c>
      <c r="O25" s="42" t="str">
        <f>IF(AND(K24="LOW",J24="HIGH")=TRUE(),"X"," ")</f>
        <v xml:space="preserve"> </v>
      </c>
      <c r="P25" s="43" t="str">
        <f>IF(AND(K24="MODERATE",J24="HIGH")=TRUE(),"X"," ")</f>
        <v xml:space="preserve"> </v>
      </c>
      <c r="Q25" s="43" t="str">
        <f>IF(AND(K24="HIGH",J24="HIGH")=TRUE(),"X"," ")</f>
        <v xml:space="preserve"> </v>
      </c>
      <c r="R25" s="43" t="str">
        <f>IF(AND(K24="VERY HIGH",J24="HIGH")=TRUE(),"X"," ")</f>
        <v xml:space="preserve"> </v>
      </c>
      <c r="S25" s="45" t="e">
        <f>IF(J24=#REF!,#REF!,0)</f>
        <v>#REF!</v>
      </c>
      <c r="T25" s="84"/>
      <c r="U25" s="93"/>
      <c r="V25" s="81"/>
      <c r="W25" s="84"/>
      <c r="X25" s="75"/>
      <c r="Y25" s="81"/>
      <c r="Z25" s="107"/>
      <c r="AA25" s="75"/>
      <c r="AB25" s="73"/>
      <c r="AC25" s="3"/>
      <c r="AD25" s="3"/>
      <c r="AE25" s="3"/>
      <c r="AF25" s="12"/>
      <c r="AG25" s="3"/>
      <c r="AH25" s="3"/>
      <c r="AI25" s="3"/>
      <c r="AJ25" s="3"/>
      <c r="AK25" s="3"/>
      <c r="AL25" s="3"/>
    </row>
    <row r="26" spans="1:38" ht="18" customHeight="1" x14ac:dyDescent="0.25">
      <c r="A26" s="3"/>
      <c r="B26" s="87"/>
      <c r="C26" s="120"/>
      <c r="D26" s="75"/>
      <c r="E26" s="143"/>
      <c r="F26" s="75"/>
      <c r="G26" s="75"/>
      <c r="H26" s="81"/>
      <c r="I26" s="84"/>
      <c r="J26" s="75"/>
      <c r="K26" s="93"/>
      <c r="L26" s="93"/>
      <c r="M26" s="40" t="s">
        <v>84</v>
      </c>
      <c r="N26" s="41" t="str">
        <f>IF(AND(K24="VERY LOW",J24="MODERATE")=TRUE(),"X"," ")</f>
        <v xml:space="preserve"> </v>
      </c>
      <c r="O26" s="46" t="str">
        <f>IF(AND(K24="LOW",J24="MODERATE")=TRUE(),"X"," ")</f>
        <v xml:space="preserve"> </v>
      </c>
      <c r="P26" s="42" t="str">
        <f>IF(AND(K24="MODERATE",J24="MODERATE")=TRUE(),"X"," ")</f>
        <v xml:space="preserve"> </v>
      </c>
      <c r="Q26" s="43" t="str">
        <f>IF(AND(K24="HIGH",J24="MODERATE")=TRUE(),"X"," ")</f>
        <v>X</v>
      </c>
      <c r="R26" s="43" t="str">
        <f>IF(AND(K24="VERY HIGH",J24="MODERATE")=TRUE(),"X"," ")</f>
        <v xml:space="preserve"> </v>
      </c>
      <c r="S26" s="45" t="e">
        <f>IF(J24=#REF!,#REF!,0)</f>
        <v>#REF!</v>
      </c>
      <c r="T26" s="84"/>
      <c r="U26" s="93"/>
      <c r="V26" s="81"/>
      <c r="W26" s="84"/>
      <c r="X26" s="75"/>
      <c r="Y26" s="81"/>
      <c r="Z26" s="107"/>
      <c r="AA26" s="75"/>
      <c r="AB26" s="73"/>
      <c r="AC26" s="3"/>
      <c r="AD26" s="3"/>
      <c r="AE26" s="3"/>
      <c r="AF26" s="12"/>
      <c r="AG26" s="3"/>
      <c r="AH26" s="3"/>
      <c r="AI26" s="3"/>
      <c r="AJ26" s="3"/>
      <c r="AK26" s="3"/>
      <c r="AL26" s="3"/>
    </row>
    <row r="27" spans="1:38" ht="18" customHeight="1" x14ac:dyDescent="0.25">
      <c r="A27" s="3"/>
      <c r="B27" s="87"/>
      <c r="C27" s="120"/>
      <c r="D27" s="75"/>
      <c r="E27" s="143"/>
      <c r="F27" s="75"/>
      <c r="G27" s="75"/>
      <c r="H27" s="81"/>
      <c r="I27" s="84"/>
      <c r="J27" s="75"/>
      <c r="K27" s="93"/>
      <c r="L27" s="93"/>
      <c r="M27" s="40" t="s">
        <v>85</v>
      </c>
      <c r="N27" s="41" t="str">
        <f>IF(AND(K24="VERY LOW",J24="LOW")=TRUE(),"X"," ")</f>
        <v xml:space="preserve"> </v>
      </c>
      <c r="O27" s="46" t="str">
        <f>IF(AND(K24="LOW",J24="LOW")=TRUE(),"X"," ")</f>
        <v xml:space="preserve"> </v>
      </c>
      <c r="P27" s="42" t="str">
        <f>IF(AND(K24="MODERATE",J24="LOW")=TRUE(),"X"," ")</f>
        <v xml:space="preserve"> </v>
      </c>
      <c r="Q27" s="43" t="str">
        <f>IF(AND(K24="HIGH",J24="LOW")=TRUE(),"X"," ")</f>
        <v xml:space="preserve"> </v>
      </c>
      <c r="R27" s="43" t="str">
        <f>IF(AND(K24="VERY HIGH",J24="LOW")=TRUE(),"X"," ")</f>
        <v xml:space="preserve"> </v>
      </c>
      <c r="S27" s="45" t="e">
        <f>IF(J24=#REF!,#REF!,0)</f>
        <v>#REF!</v>
      </c>
      <c r="T27" s="84"/>
      <c r="U27" s="93"/>
      <c r="V27" s="81"/>
      <c r="W27" s="84"/>
      <c r="X27" s="75"/>
      <c r="Y27" s="81"/>
      <c r="Z27" s="107"/>
      <c r="AA27" s="75"/>
      <c r="AB27" s="73"/>
      <c r="AC27" s="3"/>
      <c r="AD27" s="3"/>
      <c r="AE27" s="3"/>
      <c r="AF27" s="12" t="s">
        <v>86</v>
      </c>
      <c r="AG27" s="3"/>
      <c r="AH27" s="3"/>
      <c r="AI27" s="3"/>
      <c r="AJ27" s="3"/>
      <c r="AK27" s="3"/>
      <c r="AL27" s="3"/>
    </row>
    <row r="28" spans="1:38" ht="18" customHeight="1" x14ac:dyDescent="0.25">
      <c r="B28" s="87"/>
      <c r="C28" s="120"/>
      <c r="D28" s="75"/>
      <c r="E28" s="143"/>
      <c r="F28" s="75"/>
      <c r="G28" s="75"/>
      <c r="H28" s="81"/>
      <c r="I28" s="84"/>
      <c r="J28" s="75"/>
      <c r="K28" s="93"/>
      <c r="L28" s="93"/>
      <c r="M28" s="40" t="s">
        <v>87</v>
      </c>
      <c r="N28" s="47" t="str">
        <f>IF(AND(K24="VERY LOW",J24="VERY LOW")=TRUE(),"X"," ")</f>
        <v xml:space="preserve"> </v>
      </c>
      <c r="O28" s="48" t="str">
        <f>IF(AND(K24="LOW",J24="VERY LOW")=TRUE(),"X"," ")</f>
        <v xml:space="preserve"> </v>
      </c>
      <c r="P28" s="48" t="str">
        <f>IF(AND(K24="MODERATE",J24="VERY LOW")=TRUE(),"X"," ")</f>
        <v xml:space="preserve"> </v>
      </c>
      <c r="Q28" s="49" t="str">
        <f>IF(AND(K24="HIGH",J24="VERY LOW")=TRUE(),"X"," ")</f>
        <v xml:space="preserve"> </v>
      </c>
      <c r="R28" s="50" t="str">
        <f>IF(AND(K24="VERY HIGH",J24="VERY LOW")=TRUE(),"X"," ")</f>
        <v xml:space="preserve"> </v>
      </c>
      <c r="S28" s="3" t="e">
        <f>IF(J24=#REF!,#REF!,0)</f>
        <v>#REF!</v>
      </c>
      <c r="T28" s="84"/>
      <c r="U28" s="93"/>
      <c r="V28" s="81"/>
      <c r="W28" s="84"/>
      <c r="X28" s="75"/>
      <c r="Y28" s="81"/>
      <c r="Z28" s="107"/>
      <c r="AA28" s="75"/>
      <c r="AB28" s="73"/>
      <c r="AC28"/>
      <c r="AF28" s="12" t="s">
        <v>88</v>
      </c>
    </row>
    <row r="29" spans="1:38" ht="14.25" customHeight="1" x14ac:dyDescent="0.25">
      <c r="B29" s="87"/>
      <c r="C29" s="120"/>
      <c r="D29" s="75"/>
      <c r="E29" s="143"/>
      <c r="F29" s="75"/>
      <c r="G29" s="75"/>
      <c r="H29" s="81"/>
      <c r="I29" s="84"/>
      <c r="J29" s="75"/>
      <c r="K29" s="93"/>
      <c r="L29" s="39"/>
      <c r="M29" s="40"/>
      <c r="N29" s="40" t="s">
        <v>87</v>
      </c>
      <c r="O29" s="40" t="s">
        <v>85</v>
      </c>
      <c r="P29" s="40" t="s">
        <v>84</v>
      </c>
      <c r="Q29" s="40" t="s">
        <v>83</v>
      </c>
      <c r="R29" s="40" t="s">
        <v>81</v>
      </c>
      <c r="S29" s="45"/>
      <c r="T29" s="84"/>
      <c r="U29" s="93"/>
      <c r="V29" s="81"/>
      <c r="W29" s="84"/>
      <c r="X29" s="75"/>
      <c r="Y29" s="81"/>
      <c r="Z29" s="107"/>
      <c r="AA29" s="75"/>
      <c r="AB29" s="73"/>
      <c r="AC29"/>
      <c r="AF29" s="12" t="s">
        <v>89</v>
      </c>
    </row>
    <row r="30" spans="1:38" ht="11.25" customHeight="1" x14ac:dyDescent="0.25">
      <c r="B30" s="104"/>
      <c r="C30" s="114"/>
      <c r="D30" s="75"/>
      <c r="E30" s="144"/>
      <c r="F30" s="80"/>
      <c r="G30" s="80"/>
      <c r="H30" s="82"/>
      <c r="I30" s="85"/>
      <c r="J30" s="80"/>
      <c r="K30" s="94"/>
      <c r="L30" s="51"/>
      <c r="M30" s="52"/>
      <c r="N30" s="99" t="s">
        <v>22</v>
      </c>
      <c r="O30" s="90"/>
      <c r="P30" s="90"/>
      <c r="Q30" s="90"/>
      <c r="R30" s="90"/>
      <c r="S30" s="53"/>
      <c r="T30" s="85"/>
      <c r="U30" s="94"/>
      <c r="V30" s="82"/>
      <c r="W30" s="85"/>
      <c r="X30" s="80"/>
      <c r="Y30" s="82"/>
      <c r="Z30" s="108"/>
      <c r="AA30" s="80"/>
      <c r="AB30" s="74"/>
      <c r="AC30"/>
      <c r="AF30" s="12" t="s">
        <v>90</v>
      </c>
    </row>
    <row r="31" spans="1:38" ht="6.75" customHeight="1" thickBot="1" x14ac:dyDescent="0.3">
      <c r="A31" s="27"/>
      <c r="B31" s="54"/>
      <c r="C31" s="55"/>
      <c r="D31" s="56"/>
      <c r="E31" s="56"/>
      <c r="F31" s="56"/>
      <c r="G31" s="57"/>
      <c r="H31" s="58"/>
      <c r="I31" s="59"/>
      <c r="J31" s="60"/>
      <c r="K31" s="60"/>
      <c r="L31" s="61"/>
      <c r="M31" s="62"/>
      <c r="N31" s="61"/>
      <c r="O31" s="63"/>
      <c r="P31" s="63"/>
      <c r="Q31" s="63"/>
      <c r="R31" s="63"/>
      <c r="S31" s="64"/>
      <c r="T31" s="65"/>
      <c r="U31" s="66"/>
      <c r="V31" s="66"/>
      <c r="W31" s="67"/>
      <c r="X31" s="68"/>
      <c r="Y31" s="69"/>
      <c r="Z31" s="70"/>
      <c r="AA31" s="71"/>
      <c r="AB31" s="72"/>
      <c r="AC31"/>
      <c r="AF31" s="12" t="s">
        <v>91</v>
      </c>
    </row>
    <row r="32" spans="1:38" ht="18" customHeight="1" thickTop="1" x14ac:dyDescent="0.25">
      <c r="A32" s="3"/>
      <c r="B32" s="103"/>
      <c r="C32" s="119" t="s">
        <v>34</v>
      </c>
      <c r="D32" s="160" t="s">
        <v>106</v>
      </c>
      <c r="E32" s="162" t="s">
        <v>160</v>
      </c>
      <c r="F32" s="163" t="s">
        <v>93</v>
      </c>
      <c r="G32" s="164" t="s">
        <v>107</v>
      </c>
      <c r="H32" s="165" t="s">
        <v>108</v>
      </c>
      <c r="I32" s="83" t="s">
        <v>53</v>
      </c>
      <c r="J32" s="79" t="s">
        <v>43</v>
      </c>
      <c r="K32" s="92" t="s">
        <v>49</v>
      </c>
      <c r="L32" s="106" t="s">
        <v>21</v>
      </c>
      <c r="M32" s="40" t="s">
        <v>81</v>
      </c>
      <c r="N32" s="41" t="str">
        <f>IF(AND(K32="VERY LOW",J32="VERY HIGH")=TRUE(),"X"," ")</f>
        <v xml:space="preserve"> </v>
      </c>
      <c r="O32" s="42" t="str">
        <f>IF(AND(K32="LOW",J32="VERY HIGH")=TRUE(),"X"," ")</f>
        <v xml:space="preserve"> </v>
      </c>
      <c r="P32" s="43" t="str">
        <f>IF(AND(K32="MODERATE",J32="VERY HIGH")=TRUE(),"X"," ")</f>
        <v xml:space="preserve"> </v>
      </c>
      <c r="Q32" s="43" t="str">
        <f>IF(AND(K32="HIGH",J32="VERY HIGH")=TRUE(),"X"," ")</f>
        <v xml:space="preserve"> </v>
      </c>
      <c r="R32" s="43" t="str">
        <f>IF(AND(K32="VERY HIGH",J32="VERY HIGH")=TRUE(),"X"," ")</f>
        <v xml:space="preserve"> </v>
      </c>
      <c r="S32" s="44">
        <f>IF(J32=J18,T18,0)</f>
        <v>0</v>
      </c>
      <c r="T32" s="112">
        <v>0.6</v>
      </c>
      <c r="U32" s="97">
        <v>2</v>
      </c>
      <c r="V32" s="110">
        <f>T32*U32</f>
        <v>1.2</v>
      </c>
      <c r="W32" s="91" t="s">
        <v>50</v>
      </c>
      <c r="X32" s="169" t="s">
        <v>109</v>
      </c>
      <c r="Y32" s="170" t="s">
        <v>110</v>
      </c>
      <c r="Z32" s="171" t="s">
        <v>111</v>
      </c>
      <c r="AA32" s="172" t="s">
        <v>99</v>
      </c>
      <c r="AB32" s="173" t="s">
        <v>171</v>
      </c>
      <c r="AC32" s="3"/>
      <c r="AD32" s="3"/>
      <c r="AE32" s="3"/>
      <c r="AF32" s="12" t="s">
        <v>82</v>
      </c>
      <c r="AG32" s="3"/>
      <c r="AH32" s="3"/>
      <c r="AI32" s="3"/>
      <c r="AJ32" s="3"/>
      <c r="AK32" s="3"/>
      <c r="AL32" s="3"/>
    </row>
    <row r="33" spans="1:38" ht="18" customHeight="1" x14ac:dyDescent="0.25">
      <c r="A33" s="3"/>
      <c r="B33" s="87"/>
      <c r="C33" s="120"/>
      <c r="D33" s="75"/>
      <c r="E33" s="143"/>
      <c r="F33" s="75"/>
      <c r="G33" s="75"/>
      <c r="H33" s="81"/>
      <c r="I33" s="84"/>
      <c r="J33" s="75"/>
      <c r="K33" s="93"/>
      <c r="L33" s="93"/>
      <c r="M33" s="40" t="s">
        <v>83</v>
      </c>
      <c r="N33" s="41" t="str">
        <f>IF(AND(K32="VERY LOW",J32="HIGH")=TRUE(),"X"," ")</f>
        <v xml:space="preserve"> </v>
      </c>
      <c r="O33" s="42" t="str">
        <f>IF(AND(K32="LOW",J32="HIGH")=TRUE(),"X"," ")</f>
        <v xml:space="preserve"> </v>
      </c>
      <c r="P33" s="43" t="str">
        <f>IF(AND(K32="MODERATE",J32="HIGH")=TRUE(),"X"," ")</f>
        <v>X</v>
      </c>
      <c r="Q33" s="43" t="str">
        <f>IF(AND(K32="HIGH",J32="HIGH")=TRUE(),"X"," ")</f>
        <v xml:space="preserve"> </v>
      </c>
      <c r="R33" s="43" t="str">
        <f>IF(AND(K32="VERY HIGH",J32="HIGH")=TRUE(),"X"," ")</f>
        <v xml:space="preserve"> </v>
      </c>
      <c r="S33" s="45">
        <f>IF(J32=J19,T19,0)</f>
        <v>0</v>
      </c>
      <c r="T33" s="84"/>
      <c r="U33" s="93"/>
      <c r="V33" s="81"/>
      <c r="W33" s="84"/>
      <c r="X33" s="75"/>
      <c r="Y33" s="81"/>
      <c r="Z33" s="107"/>
      <c r="AA33" s="75"/>
      <c r="AB33" s="73"/>
      <c r="AC33" s="3"/>
      <c r="AD33" s="3"/>
      <c r="AE33" s="3"/>
      <c r="AF33" s="12"/>
      <c r="AG33" s="3"/>
      <c r="AH33" s="3"/>
      <c r="AI33" s="3"/>
      <c r="AJ33" s="3"/>
      <c r="AK33" s="3"/>
      <c r="AL33" s="3"/>
    </row>
    <row r="34" spans="1:38" ht="18" customHeight="1" x14ac:dyDescent="0.25">
      <c r="A34" s="3"/>
      <c r="B34" s="87"/>
      <c r="C34" s="120"/>
      <c r="D34" s="75"/>
      <c r="E34" s="143"/>
      <c r="F34" s="75"/>
      <c r="G34" s="75"/>
      <c r="H34" s="81"/>
      <c r="I34" s="84"/>
      <c r="J34" s="75"/>
      <c r="K34" s="93"/>
      <c r="L34" s="93"/>
      <c r="M34" s="40" t="s">
        <v>84</v>
      </c>
      <c r="N34" s="41" t="str">
        <f>IF(AND(K32="VERY LOW",J32="MODERATE")=TRUE(),"X"," ")</f>
        <v xml:space="preserve"> </v>
      </c>
      <c r="O34" s="46" t="str">
        <f>IF(AND(K32="LOW",J32="MODERATE")=TRUE(),"X"," ")</f>
        <v xml:space="preserve"> </v>
      </c>
      <c r="P34" s="42" t="str">
        <f>IF(AND(K32="MODERATE",J32="MODERATE")=TRUE(),"X"," ")</f>
        <v xml:space="preserve"> </v>
      </c>
      <c r="Q34" s="43" t="str">
        <f>IF(AND(K32="HIGH",J32="MODERATE")=TRUE(),"X"," ")</f>
        <v xml:space="preserve"> </v>
      </c>
      <c r="R34" s="43" t="str">
        <f>IF(AND(K32="VERY HIGH",J32="MODERATE")=TRUE(),"X"," ")</f>
        <v xml:space="preserve"> </v>
      </c>
      <c r="S34" s="45">
        <f>IF(J32=J20,T20,0)</f>
        <v>0</v>
      </c>
      <c r="T34" s="84"/>
      <c r="U34" s="93"/>
      <c r="V34" s="81"/>
      <c r="W34" s="84"/>
      <c r="X34" s="75"/>
      <c r="Y34" s="81"/>
      <c r="Z34" s="107"/>
      <c r="AA34" s="75"/>
      <c r="AB34" s="73"/>
      <c r="AC34" s="3"/>
      <c r="AD34" s="3"/>
      <c r="AE34" s="3"/>
      <c r="AF34" s="12"/>
      <c r="AG34" s="3"/>
      <c r="AH34" s="3"/>
      <c r="AI34" s="3"/>
      <c r="AJ34" s="3"/>
      <c r="AK34" s="3"/>
      <c r="AL34" s="3"/>
    </row>
    <row r="35" spans="1:38" ht="18" customHeight="1" x14ac:dyDescent="0.25">
      <c r="A35" s="3"/>
      <c r="B35" s="87"/>
      <c r="C35" s="120"/>
      <c r="D35" s="75"/>
      <c r="E35" s="143"/>
      <c r="F35" s="75"/>
      <c r="G35" s="75"/>
      <c r="H35" s="81"/>
      <c r="I35" s="84"/>
      <c r="J35" s="75"/>
      <c r="K35" s="93"/>
      <c r="L35" s="93"/>
      <c r="M35" s="40" t="s">
        <v>85</v>
      </c>
      <c r="N35" s="41" t="str">
        <f>IF(AND(K32="VERY LOW",J32="LOW")=TRUE(),"X"," ")</f>
        <v xml:space="preserve"> </v>
      </c>
      <c r="O35" s="46" t="str">
        <f>IF(AND(K32="LOW",J32="LOW")=TRUE(),"X"," ")</f>
        <v xml:space="preserve"> </v>
      </c>
      <c r="P35" s="42" t="str">
        <f>IF(AND(K32="MODERATE",J32="LOW")=TRUE(),"X"," ")</f>
        <v xml:space="preserve"> </v>
      </c>
      <c r="Q35" s="43" t="str">
        <f>IF(AND(K32="HIGH",J32="LOW")=TRUE(),"X"," ")</f>
        <v xml:space="preserve"> </v>
      </c>
      <c r="R35" s="43" t="str">
        <f>IF(AND(K32="VERY HIGH",J32="LOW")=TRUE(),"X"," ")</f>
        <v xml:space="preserve"> </v>
      </c>
      <c r="S35" s="45">
        <f>IF(J32=J21,T21,0)</f>
        <v>0</v>
      </c>
      <c r="T35" s="84"/>
      <c r="U35" s="93"/>
      <c r="V35" s="81"/>
      <c r="W35" s="84"/>
      <c r="X35" s="75"/>
      <c r="Y35" s="81"/>
      <c r="Z35" s="107"/>
      <c r="AA35" s="75"/>
      <c r="AB35" s="73"/>
      <c r="AC35" s="3"/>
      <c r="AD35" s="3"/>
      <c r="AE35" s="3"/>
      <c r="AF35" s="12" t="s">
        <v>86</v>
      </c>
      <c r="AG35" s="3"/>
      <c r="AH35" s="3"/>
      <c r="AI35" s="3"/>
      <c r="AJ35" s="3"/>
      <c r="AK35" s="3"/>
      <c r="AL35" s="3"/>
    </row>
    <row r="36" spans="1:38" ht="18" customHeight="1" x14ac:dyDescent="0.25">
      <c r="B36" s="87"/>
      <c r="C36" s="120"/>
      <c r="D36" s="75"/>
      <c r="E36" s="143"/>
      <c r="F36" s="75"/>
      <c r="G36" s="75"/>
      <c r="H36" s="81"/>
      <c r="I36" s="84"/>
      <c r="J36" s="75"/>
      <c r="K36" s="93"/>
      <c r="L36" s="93"/>
      <c r="M36" s="40" t="s">
        <v>87</v>
      </c>
      <c r="N36" s="47" t="str">
        <f>IF(AND(K32="VERY LOW",J32="VERY LOW")=TRUE(),"X"," ")</f>
        <v xml:space="preserve"> </v>
      </c>
      <c r="O36" s="48" t="str">
        <f>IF(AND(K32="LOW",J32="VERY LOW")=TRUE(),"X"," ")</f>
        <v xml:space="preserve"> </v>
      </c>
      <c r="P36" s="48" t="str">
        <f>IF(AND(K32="MODERATE",J32="VERY LOW")=TRUE(),"X"," ")</f>
        <v xml:space="preserve"> </v>
      </c>
      <c r="Q36" s="49" t="str">
        <f>IF(AND(K32="HIGH",J32="VERY LOW")=TRUE(),"X"," ")</f>
        <v xml:space="preserve"> </v>
      </c>
      <c r="R36" s="50" t="str">
        <f>IF(AND(K32="VERY HIGH",J32="VERY LOW")=TRUE(),"X"," ")</f>
        <v xml:space="preserve"> </v>
      </c>
      <c r="S36" s="3">
        <f>IF(J32=J22,T22,0)</f>
        <v>0</v>
      </c>
      <c r="T36" s="84"/>
      <c r="U36" s="93"/>
      <c r="V36" s="81"/>
      <c r="W36" s="84"/>
      <c r="X36" s="75"/>
      <c r="Y36" s="81"/>
      <c r="Z36" s="107"/>
      <c r="AA36" s="75"/>
      <c r="AB36" s="73"/>
      <c r="AC36"/>
      <c r="AF36" s="12" t="s">
        <v>88</v>
      </c>
    </row>
    <row r="37" spans="1:38" ht="14.25" customHeight="1" x14ac:dyDescent="0.25">
      <c r="B37" s="87"/>
      <c r="C37" s="120"/>
      <c r="D37" s="75"/>
      <c r="E37" s="143"/>
      <c r="F37" s="75"/>
      <c r="G37" s="75"/>
      <c r="H37" s="81"/>
      <c r="I37" s="84"/>
      <c r="J37" s="75"/>
      <c r="K37" s="93"/>
      <c r="L37" s="39"/>
      <c r="M37" s="40"/>
      <c r="N37" s="40" t="s">
        <v>87</v>
      </c>
      <c r="O37" s="40" t="s">
        <v>85</v>
      </c>
      <c r="P37" s="40" t="s">
        <v>84</v>
      </c>
      <c r="Q37" s="40" t="s">
        <v>83</v>
      </c>
      <c r="R37" s="40" t="s">
        <v>81</v>
      </c>
      <c r="S37" s="45"/>
      <c r="T37" s="84"/>
      <c r="U37" s="93"/>
      <c r="V37" s="81"/>
      <c r="W37" s="84"/>
      <c r="X37" s="75"/>
      <c r="Y37" s="81"/>
      <c r="Z37" s="107"/>
      <c r="AA37" s="75"/>
      <c r="AB37" s="73"/>
      <c r="AC37"/>
      <c r="AF37" s="12" t="s">
        <v>89</v>
      </c>
    </row>
    <row r="38" spans="1:38" ht="11.25" customHeight="1" x14ac:dyDescent="0.25">
      <c r="B38" s="104"/>
      <c r="C38" s="114"/>
      <c r="D38" s="75"/>
      <c r="E38" s="144"/>
      <c r="F38" s="80"/>
      <c r="G38" s="80"/>
      <c r="H38" s="82"/>
      <c r="I38" s="85"/>
      <c r="J38" s="80"/>
      <c r="K38" s="94"/>
      <c r="L38" s="51"/>
      <c r="M38" s="52"/>
      <c r="N38" s="99" t="s">
        <v>22</v>
      </c>
      <c r="O38" s="90"/>
      <c r="P38" s="90"/>
      <c r="Q38" s="90"/>
      <c r="R38" s="90"/>
      <c r="S38" s="53"/>
      <c r="T38" s="85"/>
      <c r="U38" s="94"/>
      <c r="V38" s="82"/>
      <c r="W38" s="85"/>
      <c r="X38" s="80"/>
      <c r="Y38" s="82"/>
      <c r="Z38" s="108"/>
      <c r="AA38" s="80"/>
      <c r="AB38" s="74"/>
      <c r="AC38"/>
      <c r="AF38" s="12" t="s">
        <v>90</v>
      </c>
    </row>
    <row r="39" spans="1:38" ht="6.75" customHeight="1" thickBot="1" x14ac:dyDescent="0.3">
      <c r="A39" s="27"/>
      <c r="B39" s="54"/>
      <c r="C39" s="55"/>
      <c r="D39" s="56"/>
      <c r="E39" s="56"/>
      <c r="F39" s="56"/>
      <c r="G39" s="57"/>
      <c r="H39" s="58"/>
      <c r="I39" s="59"/>
      <c r="J39" s="60"/>
      <c r="K39" s="60"/>
      <c r="L39" s="61"/>
      <c r="M39" s="62"/>
      <c r="N39" s="61"/>
      <c r="O39" s="63"/>
      <c r="P39" s="63"/>
      <c r="Q39" s="63"/>
      <c r="R39" s="63"/>
      <c r="S39" s="64"/>
      <c r="T39" s="65"/>
      <c r="U39" s="66"/>
      <c r="V39" s="66"/>
      <c r="W39" s="67"/>
      <c r="X39" s="68"/>
      <c r="Y39" s="69"/>
      <c r="Z39" s="70"/>
      <c r="AA39" s="71"/>
      <c r="AB39" s="72"/>
      <c r="AC39"/>
      <c r="AF39" s="12" t="s">
        <v>91</v>
      </c>
    </row>
    <row r="40" spans="1:38" ht="18" customHeight="1" thickTop="1" x14ac:dyDescent="0.25">
      <c r="A40" s="3"/>
      <c r="B40" s="103"/>
      <c r="C40" s="119" t="s">
        <v>34</v>
      </c>
      <c r="D40" s="160" t="s">
        <v>112</v>
      </c>
      <c r="E40" s="162" t="s">
        <v>161</v>
      </c>
      <c r="F40" s="163" t="s">
        <v>93</v>
      </c>
      <c r="G40" s="164" t="s">
        <v>113</v>
      </c>
      <c r="H40" s="165" t="s">
        <v>114</v>
      </c>
      <c r="I40" s="83" t="s">
        <v>53</v>
      </c>
      <c r="J40" s="79" t="s">
        <v>54</v>
      </c>
      <c r="K40" s="92" t="s">
        <v>37</v>
      </c>
      <c r="L40" s="106" t="s">
        <v>21</v>
      </c>
      <c r="M40" s="40" t="s">
        <v>81</v>
      </c>
      <c r="N40" s="41" t="str">
        <f>IF(AND(K40="VERY LOW",J40="VERY HIGH")=TRUE(),"X"," ")</f>
        <v xml:space="preserve"> </v>
      </c>
      <c r="O40" s="42" t="str">
        <f>IF(AND(K40="LOW",J40="VERY HIGH")=TRUE(),"X"," ")</f>
        <v xml:space="preserve"> </v>
      </c>
      <c r="P40" s="43" t="str">
        <f>IF(AND(K40="MODERATE",J40="VERY HIGH")=TRUE(),"X"," ")</f>
        <v xml:space="preserve"> </v>
      </c>
      <c r="Q40" s="43" t="str">
        <f>IF(AND(K40="HIGH",J40="VERY HIGH")=TRUE(),"X"," ")</f>
        <v xml:space="preserve"> </v>
      </c>
      <c r="R40" s="43" t="str">
        <f>IF(AND(K40="VERY HIGH",J40="VERY HIGH")=TRUE(),"X"," ")</f>
        <v xml:space="preserve"> </v>
      </c>
      <c r="S40" s="44">
        <f>IF(J40=J26,T26,0)</f>
        <v>0</v>
      </c>
      <c r="T40" s="112">
        <v>0.2</v>
      </c>
      <c r="U40" s="97">
        <v>10</v>
      </c>
      <c r="V40" s="110">
        <f>T40*U40</f>
        <v>2</v>
      </c>
      <c r="W40" s="168" t="s">
        <v>115</v>
      </c>
      <c r="X40" s="169" t="s">
        <v>116</v>
      </c>
      <c r="Y40" s="170" t="s">
        <v>117</v>
      </c>
      <c r="Z40" s="171" t="s">
        <v>118</v>
      </c>
      <c r="AA40" s="172" t="s">
        <v>99</v>
      </c>
      <c r="AB40" s="173" t="s">
        <v>172</v>
      </c>
      <c r="AC40" s="3"/>
      <c r="AD40" s="3"/>
      <c r="AE40" s="3"/>
      <c r="AF40" s="12" t="s">
        <v>82</v>
      </c>
      <c r="AG40" s="3"/>
      <c r="AH40" s="3"/>
      <c r="AI40" s="3"/>
      <c r="AJ40" s="3"/>
      <c r="AK40" s="3"/>
      <c r="AL40" s="3"/>
    </row>
    <row r="41" spans="1:38" ht="18" customHeight="1" x14ac:dyDescent="0.25">
      <c r="A41" s="3"/>
      <c r="B41" s="87"/>
      <c r="C41" s="120"/>
      <c r="D41" s="75"/>
      <c r="E41" s="143"/>
      <c r="F41" s="75"/>
      <c r="G41" s="75"/>
      <c r="H41" s="81"/>
      <c r="I41" s="84"/>
      <c r="J41" s="75"/>
      <c r="K41" s="93"/>
      <c r="L41" s="93"/>
      <c r="M41" s="40" t="s">
        <v>83</v>
      </c>
      <c r="N41" s="41" t="str">
        <f>IF(AND(K40="VERY LOW",J40="HIGH")=TRUE(),"X"," ")</f>
        <v xml:space="preserve"> </v>
      </c>
      <c r="O41" s="42" t="str">
        <f>IF(AND(K40="LOW",J40="HIGH")=TRUE(),"X"," ")</f>
        <v xml:space="preserve"> </v>
      </c>
      <c r="P41" s="43" t="str">
        <f>IF(AND(K40="MODERATE",J40="HIGH")=TRUE(),"X"," ")</f>
        <v xml:space="preserve"> </v>
      </c>
      <c r="Q41" s="43" t="str">
        <f>IF(AND(K40="HIGH",J40="HIGH")=TRUE(),"X"," ")</f>
        <v xml:space="preserve"> </v>
      </c>
      <c r="R41" s="43" t="str">
        <f>IF(AND(K40="VERY HIGH",J40="HIGH")=TRUE(),"X"," ")</f>
        <v xml:space="preserve"> </v>
      </c>
      <c r="S41" s="45">
        <f>IF(J40=J27,T27,0)</f>
        <v>0</v>
      </c>
      <c r="T41" s="84"/>
      <c r="U41" s="93"/>
      <c r="V41" s="81"/>
      <c r="W41" s="84"/>
      <c r="X41" s="75"/>
      <c r="Y41" s="81"/>
      <c r="Z41" s="107"/>
      <c r="AA41" s="75"/>
      <c r="AB41" s="73"/>
      <c r="AC41" s="3"/>
      <c r="AD41" s="3"/>
      <c r="AE41" s="3"/>
      <c r="AF41" s="12"/>
      <c r="AG41" s="3"/>
      <c r="AH41" s="3"/>
      <c r="AI41" s="3"/>
      <c r="AJ41" s="3"/>
      <c r="AK41" s="3"/>
      <c r="AL41" s="3"/>
    </row>
    <row r="42" spans="1:38" ht="18" customHeight="1" x14ac:dyDescent="0.25">
      <c r="A42" s="3"/>
      <c r="B42" s="87"/>
      <c r="C42" s="120"/>
      <c r="D42" s="75"/>
      <c r="E42" s="143"/>
      <c r="F42" s="75"/>
      <c r="G42" s="75"/>
      <c r="H42" s="81"/>
      <c r="I42" s="84"/>
      <c r="J42" s="75"/>
      <c r="K42" s="93"/>
      <c r="L42" s="93"/>
      <c r="M42" s="40" t="s">
        <v>84</v>
      </c>
      <c r="N42" s="41" t="str">
        <f>IF(AND(K40="VERY LOW",J40="MODERATE")=TRUE(),"X"," ")</f>
        <v xml:space="preserve"> </v>
      </c>
      <c r="O42" s="46" t="str">
        <f>IF(AND(K40="LOW",J40="MODERATE")=TRUE(),"X"," ")</f>
        <v xml:space="preserve"> </v>
      </c>
      <c r="P42" s="42" t="str">
        <f>IF(AND(K40="MODERATE",J40="MODERATE")=TRUE(),"X"," ")</f>
        <v xml:space="preserve"> </v>
      </c>
      <c r="Q42" s="43" t="str">
        <f>IF(AND(K40="HIGH",J40="MODERATE")=TRUE(),"X"," ")</f>
        <v xml:space="preserve"> </v>
      </c>
      <c r="R42" s="43" t="str">
        <f>IF(AND(K40="VERY HIGH",J40="MODERATE")=TRUE(),"X"," ")</f>
        <v xml:space="preserve"> </v>
      </c>
      <c r="S42" s="45">
        <f>IF(J40=J28,T28,0)</f>
        <v>0</v>
      </c>
      <c r="T42" s="84"/>
      <c r="U42" s="93"/>
      <c r="V42" s="81"/>
      <c r="W42" s="84"/>
      <c r="X42" s="75"/>
      <c r="Y42" s="81"/>
      <c r="Z42" s="107"/>
      <c r="AA42" s="75"/>
      <c r="AB42" s="73"/>
      <c r="AC42" s="3"/>
      <c r="AD42" s="3"/>
      <c r="AE42" s="3"/>
      <c r="AF42" s="12"/>
      <c r="AG42" s="3"/>
      <c r="AH42" s="3"/>
      <c r="AI42" s="3"/>
      <c r="AJ42" s="3"/>
      <c r="AK42" s="3"/>
      <c r="AL42" s="3"/>
    </row>
    <row r="43" spans="1:38" ht="18" customHeight="1" x14ac:dyDescent="0.25">
      <c r="A43" s="3"/>
      <c r="B43" s="87"/>
      <c r="C43" s="120"/>
      <c r="D43" s="75"/>
      <c r="E43" s="143"/>
      <c r="F43" s="75"/>
      <c r="G43" s="75"/>
      <c r="H43" s="81"/>
      <c r="I43" s="84"/>
      <c r="J43" s="75"/>
      <c r="K43" s="93"/>
      <c r="L43" s="93"/>
      <c r="M43" s="40" t="s">
        <v>85</v>
      </c>
      <c r="N43" s="41" t="str">
        <f>IF(AND(K40="VERY LOW",J40="LOW")=TRUE(),"X"," ")</f>
        <v xml:space="preserve"> </v>
      </c>
      <c r="O43" s="46" t="str">
        <f>IF(AND(K40="LOW",J40="LOW")=TRUE(),"X"," ")</f>
        <v xml:space="preserve"> </v>
      </c>
      <c r="P43" s="42" t="str">
        <f>IF(AND(K40="MODERATE",J40="LOW")=TRUE(),"X"," ")</f>
        <v xml:space="preserve"> </v>
      </c>
      <c r="Q43" s="43" t="str">
        <f>IF(AND(K40="HIGH",J40="LOW")=TRUE(),"X"," ")</f>
        <v xml:space="preserve"> </v>
      </c>
      <c r="R43" s="43" t="str">
        <f>IF(AND(K40="VERY HIGH",J40="LOW")=TRUE(),"X"," ")</f>
        <v>X</v>
      </c>
      <c r="S43" s="45">
        <f>IF(J40=J29,T29,0)</f>
        <v>0</v>
      </c>
      <c r="T43" s="84"/>
      <c r="U43" s="93"/>
      <c r="V43" s="81"/>
      <c r="W43" s="84"/>
      <c r="X43" s="75"/>
      <c r="Y43" s="81"/>
      <c r="Z43" s="107"/>
      <c r="AA43" s="75"/>
      <c r="AB43" s="73"/>
      <c r="AC43" s="3"/>
      <c r="AD43" s="3"/>
      <c r="AE43" s="3"/>
      <c r="AF43" s="12" t="s">
        <v>86</v>
      </c>
      <c r="AG43" s="3"/>
      <c r="AH43" s="3"/>
      <c r="AI43" s="3"/>
      <c r="AJ43" s="3"/>
      <c r="AK43" s="3"/>
      <c r="AL43" s="3"/>
    </row>
    <row r="44" spans="1:38" ht="18" customHeight="1" x14ac:dyDescent="0.25">
      <c r="B44" s="87"/>
      <c r="C44" s="120"/>
      <c r="D44" s="75"/>
      <c r="E44" s="143"/>
      <c r="F44" s="75"/>
      <c r="G44" s="75"/>
      <c r="H44" s="81"/>
      <c r="I44" s="84"/>
      <c r="J44" s="75"/>
      <c r="K44" s="93"/>
      <c r="L44" s="93"/>
      <c r="M44" s="40" t="s">
        <v>87</v>
      </c>
      <c r="N44" s="47" t="str">
        <f>IF(AND(K40="VERY LOW",J40="VERY LOW")=TRUE(),"X"," ")</f>
        <v xml:space="preserve"> </v>
      </c>
      <c r="O44" s="48" t="str">
        <f>IF(AND(K40="LOW",J40="VERY LOW")=TRUE(),"X"," ")</f>
        <v xml:space="preserve"> </v>
      </c>
      <c r="P44" s="48" t="str">
        <f>IF(AND(K40="MODERATE",J40="VERY LOW")=TRUE(),"X"," ")</f>
        <v xml:space="preserve"> </v>
      </c>
      <c r="Q44" s="49" t="str">
        <f>IF(AND(K40="HIGH",J40="VERY LOW")=TRUE(),"X"," ")</f>
        <v xml:space="preserve"> </v>
      </c>
      <c r="R44" s="50" t="str">
        <f>IF(AND(K40="VERY HIGH",J40="VERY LOW")=TRUE(),"X"," ")</f>
        <v xml:space="preserve"> </v>
      </c>
      <c r="S44" s="3">
        <f>IF(J40=J30,T30,0)</f>
        <v>0</v>
      </c>
      <c r="T44" s="84"/>
      <c r="U44" s="93"/>
      <c r="V44" s="81"/>
      <c r="W44" s="84"/>
      <c r="X44" s="75"/>
      <c r="Y44" s="81"/>
      <c r="Z44" s="107"/>
      <c r="AA44" s="75"/>
      <c r="AB44" s="73"/>
      <c r="AC44"/>
      <c r="AF44" s="12" t="s">
        <v>88</v>
      </c>
    </row>
    <row r="45" spans="1:38" ht="14.25" customHeight="1" x14ac:dyDescent="0.25">
      <c r="B45" s="87"/>
      <c r="C45" s="120"/>
      <c r="D45" s="75"/>
      <c r="E45" s="143"/>
      <c r="F45" s="75"/>
      <c r="G45" s="75"/>
      <c r="H45" s="81"/>
      <c r="I45" s="84"/>
      <c r="J45" s="75"/>
      <c r="K45" s="93"/>
      <c r="L45" s="39"/>
      <c r="M45" s="40"/>
      <c r="N45" s="40" t="s">
        <v>87</v>
      </c>
      <c r="O45" s="40" t="s">
        <v>85</v>
      </c>
      <c r="P45" s="40" t="s">
        <v>84</v>
      </c>
      <c r="Q45" s="40" t="s">
        <v>83</v>
      </c>
      <c r="R45" s="40" t="s">
        <v>81</v>
      </c>
      <c r="S45" s="45"/>
      <c r="T45" s="84"/>
      <c r="U45" s="93"/>
      <c r="V45" s="81"/>
      <c r="W45" s="84"/>
      <c r="X45" s="75"/>
      <c r="Y45" s="81"/>
      <c r="Z45" s="107"/>
      <c r="AA45" s="75"/>
      <c r="AB45" s="73"/>
      <c r="AC45"/>
      <c r="AF45" s="12" t="s">
        <v>89</v>
      </c>
    </row>
    <row r="46" spans="1:38" ht="11.25" customHeight="1" x14ac:dyDescent="0.25">
      <c r="B46" s="104"/>
      <c r="C46" s="114"/>
      <c r="D46" s="75"/>
      <c r="E46" s="144"/>
      <c r="F46" s="80"/>
      <c r="G46" s="80"/>
      <c r="H46" s="82"/>
      <c r="I46" s="85"/>
      <c r="J46" s="80"/>
      <c r="K46" s="94"/>
      <c r="L46" s="51"/>
      <c r="M46" s="52"/>
      <c r="N46" s="99" t="s">
        <v>22</v>
      </c>
      <c r="O46" s="90"/>
      <c r="P46" s="90"/>
      <c r="Q46" s="90"/>
      <c r="R46" s="90"/>
      <c r="S46" s="53"/>
      <c r="T46" s="85"/>
      <c r="U46" s="94"/>
      <c r="V46" s="82"/>
      <c r="W46" s="85"/>
      <c r="X46" s="80"/>
      <c r="Y46" s="82"/>
      <c r="Z46" s="108"/>
      <c r="AA46" s="80"/>
      <c r="AB46" s="74"/>
      <c r="AC46"/>
      <c r="AF46" s="12" t="s">
        <v>90</v>
      </c>
    </row>
    <row r="47" spans="1:38" ht="6.75" customHeight="1" thickBot="1" x14ac:dyDescent="0.3">
      <c r="A47" s="27"/>
      <c r="B47" s="54"/>
      <c r="C47" s="55"/>
      <c r="D47" s="56"/>
      <c r="E47" s="56"/>
      <c r="F47" s="56"/>
      <c r="G47" s="57"/>
      <c r="H47" s="58"/>
      <c r="I47" s="59"/>
      <c r="J47" s="60"/>
      <c r="K47" s="60"/>
      <c r="L47" s="61"/>
      <c r="M47" s="62"/>
      <c r="N47" s="61"/>
      <c r="O47" s="63"/>
      <c r="P47" s="63"/>
      <c r="Q47" s="63"/>
      <c r="R47" s="63"/>
      <c r="S47" s="64"/>
      <c r="T47" s="65"/>
      <c r="U47" s="66"/>
      <c r="V47" s="66"/>
      <c r="W47" s="67"/>
      <c r="X47" s="68"/>
      <c r="Y47" s="69"/>
      <c r="Z47" s="70"/>
      <c r="AA47" s="71"/>
      <c r="AB47" s="72"/>
      <c r="AC47"/>
      <c r="AF47" s="12" t="s">
        <v>91</v>
      </c>
    </row>
    <row r="48" spans="1:38" ht="17.399999999999999" customHeight="1" thickTop="1" x14ac:dyDescent="0.25">
      <c r="A48" s="3"/>
      <c r="B48" s="103"/>
      <c r="C48" s="119" t="s">
        <v>34</v>
      </c>
      <c r="D48" s="160" t="s">
        <v>119</v>
      </c>
      <c r="E48" s="162" t="s">
        <v>162</v>
      </c>
      <c r="F48" s="163" t="s">
        <v>93</v>
      </c>
      <c r="G48" s="164" t="s">
        <v>120</v>
      </c>
      <c r="H48" s="166" t="s">
        <v>121</v>
      </c>
      <c r="I48" s="83" t="s">
        <v>48</v>
      </c>
      <c r="J48" s="79" t="s">
        <v>49</v>
      </c>
      <c r="K48" s="92" t="s">
        <v>37</v>
      </c>
      <c r="L48" s="106" t="s">
        <v>21</v>
      </c>
      <c r="M48" s="40" t="s">
        <v>81</v>
      </c>
      <c r="N48" s="41" t="str">
        <f>IF(AND(K48="VERY LOW",J48="VERY HIGH")=TRUE(),"X"," ")</f>
        <v xml:space="preserve"> </v>
      </c>
      <c r="O48" s="42" t="str">
        <f>IF(AND(K48="LOW",J48="VERY HIGH")=TRUE(),"X"," ")</f>
        <v xml:space="preserve"> </v>
      </c>
      <c r="P48" s="43" t="str">
        <f>IF(AND(K48="MODERATE",J48="VERY HIGH")=TRUE(),"X"," ")</f>
        <v xml:space="preserve"> </v>
      </c>
      <c r="Q48" s="43" t="str">
        <f>IF(AND(K48="HIGH",J48="VERY HIGH")=TRUE(),"X"," ")</f>
        <v xml:space="preserve"> </v>
      </c>
      <c r="R48" s="43" t="str">
        <f>IF(AND(K48="VERY HIGH",J48="VERY HIGH")=TRUE(),"X"," ")</f>
        <v xml:space="preserve"> </v>
      </c>
      <c r="S48" s="44">
        <f>IF(J48=J34,T34,0)</f>
        <v>0</v>
      </c>
      <c r="T48" s="112">
        <v>0.4</v>
      </c>
      <c r="U48" s="97">
        <v>10</v>
      </c>
      <c r="V48" s="110">
        <f>T48*U48</f>
        <v>4</v>
      </c>
      <c r="W48" s="168" t="s">
        <v>115</v>
      </c>
      <c r="X48" s="169" t="s">
        <v>122</v>
      </c>
      <c r="Y48" s="170" t="s">
        <v>123</v>
      </c>
      <c r="Z48" s="171" t="s">
        <v>124</v>
      </c>
      <c r="AA48" s="172" t="s">
        <v>99</v>
      </c>
      <c r="AB48" s="173" t="s">
        <v>173</v>
      </c>
      <c r="AC48" s="3"/>
      <c r="AD48" s="3"/>
      <c r="AE48" s="3"/>
      <c r="AF48" s="12" t="s">
        <v>82</v>
      </c>
      <c r="AG48" s="3"/>
      <c r="AH48" s="3"/>
      <c r="AI48" s="3"/>
      <c r="AJ48" s="3"/>
      <c r="AK48" s="3"/>
      <c r="AL48" s="3"/>
    </row>
    <row r="49" spans="1:38" ht="18" customHeight="1" x14ac:dyDescent="0.25">
      <c r="A49" s="3"/>
      <c r="B49" s="87"/>
      <c r="C49" s="120"/>
      <c r="D49" s="75"/>
      <c r="E49" s="143"/>
      <c r="F49" s="75"/>
      <c r="G49" s="75"/>
      <c r="H49" s="141"/>
      <c r="I49" s="84"/>
      <c r="J49" s="75"/>
      <c r="K49" s="93"/>
      <c r="L49" s="93"/>
      <c r="M49" s="40" t="s">
        <v>83</v>
      </c>
      <c r="N49" s="41" t="str">
        <f>IF(AND(K48="VERY LOW",J48="HIGH")=TRUE(),"X"," ")</f>
        <v xml:space="preserve"> </v>
      </c>
      <c r="O49" s="42" t="str">
        <f>IF(AND(K48="LOW",J48="HIGH")=TRUE(),"X"," ")</f>
        <v xml:space="preserve"> </v>
      </c>
      <c r="P49" s="43" t="str">
        <f>IF(AND(K48="MODERATE",J48="HIGH")=TRUE(),"X"," ")</f>
        <v xml:space="preserve"> </v>
      </c>
      <c r="Q49" s="43" t="str">
        <f>IF(AND(K48="HIGH",J48="HIGH")=TRUE(),"X"," ")</f>
        <v xml:space="preserve"> </v>
      </c>
      <c r="R49" s="43" t="str">
        <f>IF(AND(K48="VERY HIGH",J48="HIGH")=TRUE(),"X"," ")</f>
        <v xml:space="preserve"> </v>
      </c>
      <c r="S49" s="45">
        <f>IF(J48=J35,T35,0)</f>
        <v>0</v>
      </c>
      <c r="T49" s="84"/>
      <c r="U49" s="93"/>
      <c r="V49" s="81"/>
      <c r="W49" s="84"/>
      <c r="X49" s="75"/>
      <c r="Y49" s="81"/>
      <c r="Z49" s="107"/>
      <c r="AA49" s="75"/>
      <c r="AB49" s="73"/>
      <c r="AC49" s="3"/>
      <c r="AD49" s="3"/>
      <c r="AE49" s="3"/>
      <c r="AF49" s="12"/>
      <c r="AG49" s="3"/>
      <c r="AH49" s="3"/>
      <c r="AI49" s="3"/>
      <c r="AJ49" s="3"/>
      <c r="AK49" s="3"/>
      <c r="AL49" s="3"/>
    </row>
    <row r="50" spans="1:38" ht="18" customHeight="1" x14ac:dyDescent="0.25">
      <c r="A50" s="3"/>
      <c r="B50" s="87"/>
      <c r="C50" s="120"/>
      <c r="D50" s="75"/>
      <c r="E50" s="143"/>
      <c r="F50" s="75"/>
      <c r="G50" s="75"/>
      <c r="H50" s="141"/>
      <c r="I50" s="84"/>
      <c r="J50" s="75"/>
      <c r="K50" s="93"/>
      <c r="L50" s="93"/>
      <c r="M50" s="40" t="s">
        <v>84</v>
      </c>
      <c r="N50" s="41" t="str">
        <f>IF(AND(K48="VERY LOW",J48="MODERATE")=TRUE(),"X"," ")</f>
        <v xml:space="preserve"> </v>
      </c>
      <c r="O50" s="46" t="str">
        <f>IF(AND(K48="LOW",J48="MODERATE")=TRUE(),"X"," ")</f>
        <v xml:space="preserve"> </v>
      </c>
      <c r="P50" s="42" t="str">
        <f>IF(AND(K48="MODERATE",J48="MODERATE")=TRUE(),"X"," ")</f>
        <v xml:space="preserve"> </v>
      </c>
      <c r="Q50" s="43" t="str">
        <f>IF(AND(K48="HIGH",J48="MODERATE")=TRUE(),"X"," ")</f>
        <v xml:space="preserve"> </v>
      </c>
      <c r="R50" s="43" t="str">
        <f>IF(AND(K48="VERY HIGH",J48="MODERATE")=TRUE(),"X"," ")</f>
        <v>X</v>
      </c>
      <c r="S50" s="45">
        <f>IF(J48=J36,T36,0)</f>
        <v>0</v>
      </c>
      <c r="T50" s="84"/>
      <c r="U50" s="93"/>
      <c r="V50" s="81"/>
      <c r="W50" s="84"/>
      <c r="X50" s="75"/>
      <c r="Y50" s="81"/>
      <c r="Z50" s="107"/>
      <c r="AA50" s="75"/>
      <c r="AB50" s="73"/>
      <c r="AC50" s="3"/>
      <c r="AD50" s="3"/>
      <c r="AE50" s="3"/>
      <c r="AF50" s="12"/>
      <c r="AG50" s="3"/>
      <c r="AH50" s="3"/>
      <c r="AI50" s="3"/>
      <c r="AJ50" s="3"/>
      <c r="AK50" s="3"/>
      <c r="AL50" s="3"/>
    </row>
    <row r="51" spans="1:38" ht="18" customHeight="1" x14ac:dyDescent="0.25">
      <c r="A51" s="3"/>
      <c r="B51" s="87"/>
      <c r="C51" s="120"/>
      <c r="D51" s="75"/>
      <c r="E51" s="143"/>
      <c r="F51" s="75"/>
      <c r="G51" s="75"/>
      <c r="H51" s="141"/>
      <c r="I51" s="84"/>
      <c r="J51" s="75"/>
      <c r="K51" s="93"/>
      <c r="L51" s="93"/>
      <c r="M51" s="40" t="s">
        <v>85</v>
      </c>
      <c r="N51" s="41" t="str">
        <f>IF(AND(K48="VERY LOW",J48="LOW")=TRUE(),"X"," ")</f>
        <v xml:space="preserve"> </v>
      </c>
      <c r="O51" s="46" t="str">
        <f>IF(AND(K48="LOW",J48="LOW")=TRUE(),"X"," ")</f>
        <v xml:space="preserve"> </v>
      </c>
      <c r="P51" s="42" t="str">
        <f>IF(AND(K48="MODERATE",J48="LOW")=TRUE(),"X"," ")</f>
        <v xml:space="preserve"> </v>
      </c>
      <c r="Q51" s="43" t="str">
        <f>IF(AND(K48="HIGH",J48="LOW")=TRUE(),"X"," ")</f>
        <v xml:space="preserve"> </v>
      </c>
      <c r="R51" s="43" t="str">
        <f>IF(AND(K48="VERY HIGH",J48="LOW")=TRUE(),"X"," ")</f>
        <v xml:space="preserve"> </v>
      </c>
      <c r="S51" s="45">
        <f>IF(J48=J37,T37,0)</f>
        <v>0</v>
      </c>
      <c r="T51" s="84"/>
      <c r="U51" s="93"/>
      <c r="V51" s="81"/>
      <c r="W51" s="84"/>
      <c r="X51" s="75"/>
      <c r="Y51" s="81"/>
      <c r="Z51" s="107"/>
      <c r="AA51" s="75"/>
      <c r="AB51" s="73"/>
      <c r="AC51" s="3"/>
      <c r="AD51" s="3"/>
      <c r="AE51" s="3"/>
      <c r="AF51" s="12" t="s">
        <v>86</v>
      </c>
      <c r="AG51" s="3"/>
      <c r="AH51" s="3"/>
      <c r="AI51" s="3"/>
      <c r="AJ51" s="3"/>
      <c r="AK51" s="3"/>
      <c r="AL51" s="3"/>
    </row>
    <row r="52" spans="1:38" ht="18" customHeight="1" x14ac:dyDescent="0.25">
      <c r="B52" s="87"/>
      <c r="C52" s="120"/>
      <c r="D52" s="75"/>
      <c r="E52" s="143"/>
      <c r="F52" s="75"/>
      <c r="G52" s="75"/>
      <c r="H52" s="141"/>
      <c r="I52" s="84"/>
      <c r="J52" s="75"/>
      <c r="K52" s="93"/>
      <c r="L52" s="93"/>
      <c r="M52" s="40" t="s">
        <v>87</v>
      </c>
      <c r="N52" s="47" t="str">
        <f>IF(AND(K48="VERY LOW",J48="VERY LOW")=TRUE(),"X"," ")</f>
        <v xml:space="preserve"> </v>
      </c>
      <c r="O52" s="48" t="str">
        <f>IF(AND(K48="LOW",J48="VERY LOW")=TRUE(),"X"," ")</f>
        <v xml:space="preserve"> </v>
      </c>
      <c r="P52" s="48" t="str">
        <f>IF(AND(K48="MODERATE",J48="VERY LOW")=TRUE(),"X"," ")</f>
        <v xml:space="preserve"> </v>
      </c>
      <c r="Q52" s="49" t="str">
        <f>IF(AND(K48="HIGH",J48="VERY LOW")=TRUE(),"X"," ")</f>
        <v xml:space="preserve"> </v>
      </c>
      <c r="R52" s="50" t="str">
        <f>IF(AND(K48="VERY HIGH",J48="VERY LOW")=TRUE(),"X"," ")</f>
        <v xml:space="preserve"> </v>
      </c>
      <c r="S52" s="3">
        <f>IF(J48=J38,T38,0)</f>
        <v>0</v>
      </c>
      <c r="T52" s="84"/>
      <c r="U52" s="93"/>
      <c r="V52" s="81"/>
      <c r="W52" s="84"/>
      <c r="X52" s="75"/>
      <c r="Y52" s="81"/>
      <c r="Z52" s="107"/>
      <c r="AA52" s="75"/>
      <c r="AB52" s="73"/>
      <c r="AC52"/>
      <c r="AF52" s="12" t="s">
        <v>88</v>
      </c>
    </row>
    <row r="53" spans="1:38" ht="14.25" customHeight="1" x14ac:dyDescent="0.25">
      <c r="B53" s="87"/>
      <c r="C53" s="120"/>
      <c r="D53" s="75"/>
      <c r="E53" s="143"/>
      <c r="F53" s="75"/>
      <c r="G53" s="75"/>
      <c r="H53" s="141"/>
      <c r="I53" s="84"/>
      <c r="J53" s="75"/>
      <c r="K53" s="93"/>
      <c r="L53" s="39"/>
      <c r="M53" s="40"/>
      <c r="N53" s="40" t="s">
        <v>87</v>
      </c>
      <c r="O53" s="40" t="s">
        <v>85</v>
      </c>
      <c r="P53" s="40" t="s">
        <v>84</v>
      </c>
      <c r="Q53" s="40" t="s">
        <v>83</v>
      </c>
      <c r="R53" s="40" t="s">
        <v>81</v>
      </c>
      <c r="S53" s="45"/>
      <c r="T53" s="84"/>
      <c r="U53" s="93"/>
      <c r="V53" s="81"/>
      <c r="W53" s="84"/>
      <c r="X53" s="75"/>
      <c r="Y53" s="81"/>
      <c r="Z53" s="107"/>
      <c r="AA53" s="75"/>
      <c r="AB53" s="73"/>
      <c r="AC53"/>
      <c r="AF53" s="12" t="s">
        <v>89</v>
      </c>
    </row>
    <row r="54" spans="1:38" ht="11.25" customHeight="1" x14ac:dyDescent="0.25">
      <c r="B54" s="104"/>
      <c r="C54" s="114"/>
      <c r="D54" s="75"/>
      <c r="E54" s="144"/>
      <c r="F54" s="80"/>
      <c r="G54" s="80"/>
      <c r="H54" s="142"/>
      <c r="I54" s="85"/>
      <c r="J54" s="80"/>
      <c r="K54" s="94"/>
      <c r="L54" s="51"/>
      <c r="M54" s="52"/>
      <c r="N54" s="99" t="s">
        <v>22</v>
      </c>
      <c r="O54" s="90"/>
      <c r="P54" s="90"/>
      <c r="Q54" s="90"/>
      <c r="R54" s="90"/>
      <c r="S54" s="53"/>
      <c r="T54" s="85"/>
      <c r="U54" s="94"/>
      <c r="V54" s="82"/>
      <c r="W54" s="85"/>
      <c r="X54" s="80"/>
      <c r="Y54" s="82"/>
      <c r="Z54" s="108"/>
      <c r="AA54" s="80"/>
      <c r="AB54" s="74"/>
      <c r="AC54"/>
      <c r="AF54" s="12" t="s">
        <v>90</v>
      </c>
    </row>
    <row r="55" spans="1:38" ht="6.6" customHeight="1" thickBot="1" x14ac:dyDescent="0.3">
      <c r="A55" s="27"/>
      <c r="B55" s="54"/>
      <c r="C55" s="55"/>
      <c r="D55" s="56"/>
      <c r="E55" s="56"/>
      <c r="F55" s="56"/>
      <c r="G55" s="57"/>
      <c r="H55" s="58"/>
      <c r="I55" s="59"/>
      <c r="J55" s="60"/>
      <c r="K55" s="60"/>
      <c r="L55" s="61"/>
      <c r="M55" s="62"/>
      <c r="N55" s="61"/>
      <c r="O55" s="63"/>
      <c r="P55" s="63"/>
      <c r="Q55" s="63"/>
      <c r="R55" s="63"/>
      <c r="S55" s="64"/>
      <c r="T55" s="65"/>
      <c r="U55" s="66"/>
      <c r="V55" s="66"/>
      <c r="W55" s="67"/>
      <c r="X55" s="68"/>
      <c r="Y55" s="69"/>
      <c r="Z55" s="70"/>
      <c r="AA55" s="71"/>
      <c r="AB55" s="72"/>
      <c r="AC55"/>
      <c r="AF55" s="12" t="s">
        <v>91</v>
      </c>
    </row>
    <row r="56" spans="1:38" ht="17.399999999999999" customHeight="1" thickTop="1" x14ac:dyDescent="0.25">
      <c r="A56" s="3"/>
      <c r="B56" s="103"/>
      <c r="C56" s="119" t="s">
        <v>34</v>
      </c>
      <c r="D56" s="160" t="s">
        <v>125</v>
      </c>
      <c r="E56" s="162" t="s">
        <v>163</v>
      </c>
      <c r="F56" s="163" t="s">
        <v>93</v>
      </c>
      <c r="G56" s="164" t="s">
        <v>126</v>
      </c>
      <c r="H56" s="166" t="s">
        <v>127</v>
      </c>
      <c r="I56" s="83" t="s">
        <v>53</v>
      </c>
      <c r="J56" s="79" t="s">
        <v>49</v>
      </c>
      <c r="K56" s="92" t="s">
        <v>43</v>
      </c>
      <c r="L56" s="106" t="s">
        <v>21</v>
      </c>
      <c r="M56" s="40" t="s">
        <v>81</v>
      </c>
      <c r="N56" s="41" t="str">
        <f>IF(AND(K56="VERY LOW",J56="VERY HIGH")=TRUE(),"X"," ")</f>
        <v xml:space="preserve"> </v>
      </c>
      <c r="O56" s="42" t="str">
        <f>IF(AND(K56="LOW",J56="VERY HIGH")=TRUE(),"X"," ")</f>
        <v xml:space="preserve"> </v>
      </c>
      <c r="P56" s="43" t="str">
        <f>IF(AND(K56="MODERATE",J56="VERY HIGH")=TRUE(),"X"," ")</f>
        <v xml:space="preserve"> </v>
      </c>
      <c r="Q56" s="43" t="str">
        <f>IF(AND(K56="HIGH",J56="VERY HIGH")=TRUE(),"X"," ")</f>
        <v xml:space="preserve"> </v>
      </c>
      <c r="R56" s="43" t="str">
        <f>IF(AND(K56="VERY HIGH",J56="VERY HIGH")=TRUE(),"X"," ")</f>
        <v xml:space="preserve"> </v>
      </c>
      <c r="S56" s="44">
        <f>IF(J56=J42,T42,0)</f>
        <v>0</v>
      </c>
      <c r="T56" s="112">
        <v>0.4</v>
      </c>
      <c r="U56" s="97">
        <v>5</v>
      </c>
      <c r="V56" s="110">
        <f>T56*U56</f>
        <v>2</v>
      </c>
      <c r="W56" s="168" t="s">
        <v>50</v>
      </c>
      <c r="X56" s="169" t="s">
        <v>128</v>
      </c>
      <c r="Y56" s="170" t="s">
        <v>129</v>
      </c>
      <c r="Z56" s="171" t="s">
        <v>118</v>
      </c>
      <c r="AA56" s="172" t="s">
        <v>99</v>
      </c>
      <c r="AB56" s="173" t="s">
        <v>174</v>
      </c>
      <c r="AC56" s="3"/>
      <c r="AD56" s="3"/>
      <c r="AE56" s="3"/>
      <c r="AF56" s="12" t="s">
        <v>82</v>
      </c>
      <c r="AG56" s="3"/>
      <c r="AH56" s="3"/>
      <c r="AI56" s="3"/>
      <c r="AJ56" s="3"/>
      <c r="AK56" s="3"/>
      <c r="AL56" s="3"/>
    </row>
    <row r="57" spans="1:38" ht="18" customHeight="1" x14ac:dyDescent="0.25">
      <c r="A57" s="3"/>
      <c r="B57" s="87"/>
      <c r="C57" s="120"/>
      <c r="D57" s="75"/>
      <c r="E57" s="143"/>
      <c r="F57" s="75"/>
      <c r="G57" s="75"/>
      <c r="H57" s="141"/>
      <c r="I57" s="84"/>
      <c r="J57" s="75"/>
      <c r="K57" s="93"/>
      <c r="L57" s="93"/>
      <c r="M57" s="40" t="s">
        <v>83</v>
      </c>
      <c r="N57" s="41" t="str">
        <f>IF(AND(K56="VERY LOW",J56="HIGH")=TRUE(),"X"," ")</f>
        <v xml:space="preserve"> </v>
      </c>
      <c r="O57" s="42" t="str">
        <f>IF(AND(K56="LOW",J56="HIGH")=TRUE(),"X"," ")</f>
        <v xml:space="preserve"> </v>
      </c>
      <c r="P57" s="43" t="str">
        <f>IF(AND(K56="MODERATE",J56="HIGH")=TRUE(),"X"," ")</f>
        <v xml:space="preserve"> </v>
      </c>
      <c r="Q57" s="43" t="str">
        <f>IF(AND(K56="HIGH",J56="HIGH")=TRUE(),"X"," ")</f>
        <v xml:space="preserve"> </v>
      </c>
      <c r="R57" s="43" t="str">
        <f>IF(AND(K56="VERY HIGH",J56="HIGH")=TRUE(),"X"," ")</f>
        <v xml:space="preserve"> </v>
      </c>
      <c r="S57" s="45">
        <f>IF(J56=J43,T43,0)</f>
        <v>0</v>
      </c>
      <c r="T57" s="84"/>
      <c r="U57" s="93"/>
      <c r="V57" s="81"/>
      <c r="W57" s="84"/>
      <c r="X57" s="75"/>
      <c r="Y57" s="81"/>
      <c r="Z57" s="107"/>
      <c r="AA57" s="75"/>
      <c r="AB57" s="73"/>
      <c r="AC57" s="3"/>
      <c r="AD57" s="3"/>
      <c r="AE57" s="3"/>
      <c r="AF57" s="12"/>
      <c r="AG57" s="3"/>
      <c r="AH57" s="3"/>
      <c r="AI57" s="3"/>
      <c r="AJ57" s="3"/>
      <c r="AK57" s="3"/>
      <c r="AL57" s="3"/>
    </row>
    <row r="58" spans="1:38" ht="18" customHeight="1" x14ac:dyDescent="0.25">
      <c r="A58" s="3"/>
      <c r="B58" s="87"/>
      <c r="C58" s="120"/>
      <c r="D58" s="75"/>
      <c r="E58" s="143"/>
      <c r="F58" s="75"/>
      <c r="G58" s="75"/>
      <c r="H58" s="141"/>
      <c r="I58" s="84"/>
      <c r="J58" s="75"/>
      <c r="K58" s="93"/>
      <c r="L58" s="93"/>
      <c r="M58" s="40" t="s">
        <v>84</v>
      </c>
      <c r="N58" s="41" t="str">
        <f>IF(AND(K56="VERY LOW",J56="MODERATE")=TRUE(),"X"," ")</f>
        <v xml:space="preserve"> </v>
      </c>
      <c r="O58" s="46" t="str">
        <f>IF(AND(K56="LOW",J56="MODERATE")=TRUE(),"X"," ")</f>
        <v xml:space="preserve"> </v>
      </c>
      <c r="P58" s="42" t="str">
        <f>IF(AND(K56="MODERATE",J56="MODERATE")=TRUE(),"X"," ")</f>
        <v xml:space="preserve"> </v>
      </c>
      <c r="Q58" s="43" t="str">
        <f>IF(AND(K56="HIGH",J56="MODERATE")=TRUE(),"X"," ")</f>
        <v>X</v>
      </c>
      <c r="R58" s="43" t="str">
        <f>IF(AND(K56="VERY HIGH",J56="MODERATE")=TRUE(),"X"," ")</f>
        <v xml:space="preserve"> </v>
      </c>
      <c r="S58" s="45">
        <f>IF(J56=J44,T44,0)</f>
        <v>0</v>
      </c>
      <c r="T58" s="84"/>
      <c r="U58" s="93"/>
      <c r="V58" s="81"/>
      <c r="W58" s="84"/>
      <c r="X58" s="75"/>
      <c r="Y58" s="81"/>
      <c r="Z58" s="107"/>
      <c r="AA58" s="75"/>
      <c r="AB58" s="73"/>
      <c r="AC58" s="3"/>
      <c r="AD58" s="3"/>
      <c r="AE58" s="3"/>
      <c r="AF58" s="12"/>
      <c r="AG58" s="3"/>
      <c r="AH58" s="3"/>
      <c r="AI58" s="3"/>
      <c r="AJ58" s="3"/>
      <c r="AK58" s="3"/>
      <c r="AL58" s="3"/>
    </row>
    <row r="59" spans="1:38" ht="18" customHeight="1" x14ac:dyDescent="0.25">
      <c r="A59" s="3"/>
      <c r="B59" s="87"/>
      <c r="C59" s="120"/>
      <c r="D59" s="75"/>
      <c r="E59" s="143"/>
      <c r="F59" s="75"/>
      <c r="G59" s="75"/>
      <c r="H59" s="141"/>
      <c r="I59" s="84"/>
      <c r="J59" s="75"/>
      <c r="K59" s="93"/>
      <c r="L59" s="93"/>
      <c r="M59" s="40" t="s">
        <v>85</v>
      </c>
      <c r="N59" s="41" t="str">
        <f>IF(AND(K56="VERY LOW",J56="LOW")=TRUE(),"X"," ")</f>
        <v xml:space="preserve"> </v>
      </c>
      <c r="O59" s="46" t="str">
        <f>IF(AND(K56="LOW",J56="LOW")=TRUE(),"X"," ")</f>
        <v xml:space="preserve"> </v>
      </c>
      <c r="P59" s="42" t="str">
        <f>IF(AND(K56="MODERATE",J56="LOW")=TRUE(),"X"," ")</f>
        <v xml:space="preserve"> </v>
      </c>
      <c r="Q59" s="43" t="str">
        <f>IF(AND(K56="HIGH",J56="LOW")=TRUE(),"X"," ")</f>
        <v xml:space="preserve"> </v>
      </c>
      <c r="R59" s="43" t="str">
        <f>IF(AND(K56="VERY HIGH",J56="LOW")=TRUE(),"X"," ")</f>
        <v xml:space="preserve"> </v>
      </c>
      <c r="S59" s="45">
        <f>IF(J56=J45,T45,0)</f>
        <v>0</v>
      </c>
      <c r="T59" s="84"/>
      <c r="U59" s="93"/>
      <c r="V59" s="81"/>
      <c r="W59" s="84"/>
      <c r="X59" s="75"/>
      <c r="Y59" s="81"/>
      <c r="Z59" s="107"/>
      <c r="AA59" s="75"/>
      <c r="AB59" s="73"/>
      <c r="AC59" s="3"/>
      <c r="AD59" s="3"/>
      <c r="AE59" s="3"/>
      <c r="AF59" s="12" t="s">
        <v>86</v>
      </c>
      <c r="AG59" s="3"/>
      <c r="AH59" s="3"/>
      <c r="AI59" s="3"/>
      <c r="AJ59" s="3"/>
      <c r="AK59" s="3"/>
      <c r="AL59" s="3"/>
    </row>
    <row r="60" spans="1:38" ht="18" customHeight="1" x14ac:dyDescent="0.25">
      <c r="B60" s="87"/>
      <c r="C60" s="120"/>
      <c r="D60" s="75"/>
      <c r="E60" s="143"/>
      <c r="F60" s="75"/>
      <c r="G60" s="75"/>
      <c r="H60" s="141"/>
      <c r="I60" s="84"/>
      <c r="J60" s="75"/>
      <c r="K60" s="93"/>
      <c r="L60" s="93"/>
      <c r="M60" s="40" t="s">
        <v>87</v>
      </c>
      <c r="N60" s="47" t="str">
        <f>IF(AND(K56="VERY LOW",J56="VERY LOW")=TRUE(),"X"," ")</f>
        <v xml:space="preserve"> </v>
      </c>
      <c r="O60" s="48" t="str">
        <f>IF(AND(K56="LOW",J56="VERY LOW")=TRUE(),"X"," ")</f>
        <v xml:space="preserve"> </v>
      </c>
      <c r="P60" s="48" t="str">
        <f>IF(AND(K56="MODERATE",J56="VERY LOW")=TRUE(),"X"," ")</f>
        <v xml:space="preserve"> </v>
      </c>
      <c r="Q60" s="49" t="str">
        <f>IF(AND(K56="HIGH",J56="VERY LOW")=TRUE(),"X"," ")</f>
        <v xml:space="preserve"> </v>
      </c>
      <c r="R60" s="50" t="str">
        <f>IF(AND(K56="VERY HIGH",J56="VERY LOW")=TRUE(),"X"," ")</f>
        <v xml:space="preserve"> </v>
      </c>
      <c r="S60" s="3">
        <f>IF(J56=J46,T46,0)</f>
        <v>0</v>
      </c>
      <c r="T60" s="84"/>
      <c r="U60" s="93"/>
      <c r="V60" s="81"/>
      <c r="W60" s="84"/>
      <c r="X60" s="75"/>
      <c r="Y60" s="81"/>
      <c r="Z60" s="107"/>
      <c r="AA60" s="75"/>
      <c r="AB60" s="73"/>
      <c r="AC60"/>
      <c r="AF60" s="12" t="s">
        <v>88</v>
      </c>
    </row>
    <row r="61" spans="1:38" ht="14.25" customHeight="1" x14ac:dyDescent="0.25">
      <c r="B61" s="87"/>
      <c r="C61" s="120"/>
      <c r="D61" s="75"/>
      <c r="E61" s="143"/>
      <c r="F61" s="75"/>
      <c r="G61" s="75"/>
      <c r="H61" s="141"/>
      <c r="I61" s="84"/>
      <c r="J61" s="75"/>
      <c r="K61" s="93"/>
      <c r="L61" s="39"/>
      <c r="M61" s="40"/>
      <c r="N61" s="40" t="s">
        <v>87</v>
      </c>
      <c r="O61" s="40" t="s">
        <v>85</v>
      </c>
      <c r="P61" s="40" t="s">
        <v>84</v>
      </c>
      <c r="Q61" s="40" t="s">
        <v>83</v>
      </c>
      <c r="R61" s="40" t="s">
        <v>81</v>
      </c>
      <c r="S61" s="45"/>
      <c r="T61" s="84"/>
      <c r="U61" s="93"/>
      <c r="V61" s="81"/>
      <c r="W61" s="84"/>
      <c r="X61" s="75"/>
      <c r="Y61" s="81"/>
      <c r="Z61" s="107"/>
      <c r="AA61" s="75"/>
      <c r="AB61" s="73"/>
      <c r="AC61"/>
      <c r="AF61" s="12" t="s">
        <v>89</v>
      </c>
    </row>
    <row r="62" spans="1:38" ht="11.25" customHeight="1" x14ac:dyDescent="0.25">
      <c r="B62" s="104"/>
      <c r="C62" s="114"/>
      <c r="D62" s="75"/>
      <c r="E62" s="144"/>
      <c r="F62" s="80"/>
      <c r="G62" s="80"/>
      <c r="H62" s="142"/>
      <c r="I62" s="85"/>
      <c r="J62" s="80"/>
      <c r="K62" s="94"/>
      <c r="L62" s="51"/>
      <c r="M62" s="52"/>
      <c r="N62" s="99" t="s">
        <v>22</v>
      </c>
      <c r="O62" s="90"/>
      <c r="P62" s="90"/>
      <c r="Q62" s="90"/>
      <c r="R62" s="90"/>
      <c r="S62" s="53"/>
      <c r="T62" s="85"/>
      <c r="U62" s="94"/>
      <c r="V62" s="82"/>
      <c r="W62" s="85"/>
      <c r="X62" s="80"/>
      <c r="Y62" s="82"/>
      <c r="Z62" s="108"/>
      <c r="AA62" s="80"/>
      <c r="AB62" s="74"/>
      <c r="AC62"/>
      <c r="AF62" s="12" t="s">
        <v>90</v>
      </c>
    </row>
    <row r="63" spans="1:38" ht="6.6" customHeight="1" thickBot="1" x14ac:dyDescent="0.3">
      <c r="A63" s="27"/>
      <c r="B63" s="54"/>
      <c r="C63" s="55"/>
      <c r="D63" s="56"/>
      <c r="E63" s="56"/>
      <c r="F63" s="56"/>
      <c r="G63" s="57"/>
      <c r="H63" s="58"/>
      <c r="I63" s="59"/>
      <c r="J63" s="60"/>
      <c r="K63" s="60"/>
      <c r="L63" s="61"/>
      <c r="M63" s="62"/>
      <c r="N63" s="61"/>
      <c r="O63" s="63"/>
      <c r="P63" s="63"/>
      <c r="Q63" s="63"/>
      <c r="R63" s="63"/>
      <c r="S63" s="64"/>
      <c r="T63" s="65"/>
      <c r="U63" s="66"/>
      <c r="V63" s="66"/>
      <c r="W63" s="67"/>
      <c r="X63" s="68"/>
      <c r="Y63" s="69"/>
      <c r="Z63" s="70"/>
      <c r="AA63" s="71"/>
      <c r="AB63" s="72"/>
      <c r="AC63"/>
      <c r="AF63" s="12" t="s">
        <v>91</v>
      </c>
    </row>
    <row r="64" spans="1:38" ht="17.399999999999999" customHeight="1" thickTop="1" x14ac:dyDescent="0.25">
      <c r="A64" s="3"/>
      <c r="B64" s="103"/>
      <c r="C64" s="119" t="s">
        <v>34</v>
      </c>
      <c r="D64" s="160" t="s">
        <v>130</v>
      </c>
      <c r="E64" s="162" t="s">
        <v>164</v>
      </c>
      <c r="F64" s="163" t="s">
        <v>93</v>
      </c>
      <c r="G64" s="164" t="s">
        <v>131</v>
      </c>
      <c r="H64" s="166" t="s">
        <v>132</v>
      </c>
      <c r="I64" s="83" t="s">
        <v>48</v>
      </c>
      <c r="J64" s="79" t="s">
        <v>49</v>
      </c>
      <c r="K64" s="92" t="s">
        <v>37</v>
      </c>
      <c r="L64" s="106" t="s">
        <v>21</v>
      </c>
      <c r="M64" s="40" t="s">
        <v>81</v>
      </c>
      <c r="N64" s="41" t="str">
        <f>IF(AND(K64="VERY LOW",J64="VERY HIGH")=TRUE(),"X"," ")</f>
        <v xml:space="preserve"> </v>
      </c>
      <c r="O64" s="42" t="str">
        <f>IF(AND(K64="LOW",J64="VERY HIGH")=TRUE(),"X"," ")</f>
        <v xml:space="preserve"> </v>
      </c>
      <c r="P64" s="43" t="str">
        <f>IF(AND(K64="MODERATE",J64="VERY HIGH")=TRUE(),"X"," ")</f>
        <v xml:space="preserve"> </v>
      </c>
      <c r="Q64" s="43" t="str">
        <f>IF(AND(K64="HIGH",J64="VERY HIGH")=TRUE(),"X"," ")</f>
        <v xml:space="preserve"> </v>
      </c>
      <c r="R64" s="43" t="str">
        <f>IF(AND(K64="VERY HIGH",J64="VERY HIGH")=TRUE(),"X"," ")</f>
        <v xml:space="preserve"> </v>
      </c>
      <c r="S64" s="44">
        <f>IF(J64=J50,T50,0)</f>
        <v>0</v>
      </c>
      <c r="T64" s="112">
        <v>0.4</v>
      </c>
      <c r="U64" s="97">
        <v>10</v>
      </c>
      <c r="V64" s="110">
        <f>T64*U64</f>
        <v>4</v>
      </c>
      <c r="W64" s="168" t="s">
        <v>50</v>
      </c>
      <c r="X64" s="169" t="s">
        <v>133</v>
      </c>
      <c r="Y64" s="170" t="s">
        <v>134</v>
      </c>
      <c r="Z64" s="171" t="s">
        <v>124</v>
      </c>
      <c r="AA64" s="172" t="s">
        <v>99</v>
      </c>
      <c r="AB64" s="173" t="s">
        <v>175</v>
      </c>
      <c r="AC64" s="3"/>
      <c r="AD64" s="3"/>
      <c r="AE64" s="3"/>
      <c r="AF64" s="12" t="s">
        <v>82</v>
      </c>
      <c r="AG64" s="3"/>
      <c r="AH64" s="3"/>
      <c r="AI64" s="3"/>
      <c r="AJ64" s="3"/>
      <c r="AK64" s="3"/>
      <c r="AL64" s="3"/>
    </row>
    <row r="65" spans="1:38" ht="18" customHeight="1" x14ac:dyDescent="0.25">
      <c r="A65" s="3"/>
      <c r="B65" s="87"/>
      <c r="C65" s="120"/>
      <c r="D65" s="75"/>
      <c r="E65" s="143"/>
      <c r="F65" s="75"/>
      <c r="G65" s="75"/>
      <c r="H65" s="141"/>
      <c r="I65" s="84"/>
      <c r="J65" s="75"/>
      <c r="K65" s="93"/>
      <c r="L65" s="93"/>
      <c r="M65" s="40" t="s">
        <v>83</v>
      </c>
      <c r="N65" s="41" t="str">
        <f>IF(AND(K64="VERY LOW",J64="HIGH")=TRUE(),"X"," ")</f>
        <v xml:space="preserve"> </v>
      </c>
      <c r="O65" s="42" t="str">
        <f>IF(AND(K64="LOW",J64="HIGH")=TRUE(),"X"," ")</f>
        <v xml:space="preserve"> </v>
      </c>
      <c r="P65" s="43" t="str">
        <f>IF(AND(K64="MODERATE",J64="HIGH")=TRUE(),"X"," ")</f>
        <v xml:space="preserve"> </v>
      </c>
      <c r="Q65" s="43" t="str">
        <f>IF(AND(K64="HIGH",J64="HIGH")=TRUE(),"X"," ")</f>
        <v xml:space="preserve"> </v>
      </c>
      <c r="R65" s="43" t="str">
        <f>IF(AND(K64="VERY HIGH",J64="HIGH")=TRUE(),"X"," ")</f>
        <v xml:space="preserve"> </v>
      </c>
      <c r="S65" s="45">
        <f>IF(J64=J51,T51,0)</f>
        <v>0</v>
      </c>
      <c r="T65" s="84"/>
      <c r="U65" s="93"/>
      <c r="V65" s="81"/>
      <c r="W65" s="84"/>
      <c r="X65" s="75"/>
      <c r="Y65" s="81"/>
      <c r="Z65" s="107"/>
      <c r="AA65" s="75"/>
      <c r="AB65" s="73"/>
      <c r="AC65" s="3"/>
      <c r="AD65" s="3"/>
      <c r="AE65" s="3"/>
      <c r="AF65" s="12"/>
      <c r="AG65" s="3"/>
      <c r="AH65" s="3"/>
      <c r="AI65" s="3"/>
      <c r="AJ65" s="3"/>
      <c r="AK65" s="3"/>
      <c r="AL65" s="3"/>
    </row>
    <row r="66" spans="1:38" ht="18" customHeight="1" x14ac:dyDescent="0.25">
      <c r="A66" s="3"/>
      <c r="B66" s="87"/>
      <c r="C66" s="120"/>
      <c r="D66" s="75"/>
      <c r="E66" s="143"/>
      <c r="F66" s="75"/>
      <c r="G66" s="75"/>
      <c r="H66" s="141"/>
      <c r="I66" s="84"/>
      <c r="J66" s="75"/>
      <c r="K66" s="93"/>
      <c r="L66" s="93"/>
      <c r="M66" s="40" t="s">
        <v>84</v>
      </c>
      <c r="N66" s="41" t="str">
        <f>IF(AND(K64="VERY LOW",J64="MODERATE")=TRUE(),"X"," ")</f>
        <v xml:space="preserve"> </v>
      </c>
      <c r="O66" s="46" t="str">
        <f>IF(AND(K64="LOW",J64="MODERATE")=TRUE(),"X"," ")</f>
        <v xml:space="preserve"> </v>
      </c>
      <c r="P66" s="42" t="str">
        <f>IF(AND(K64="MODERATE",J64="MODERATE")=TRUE(),"X"," ")</f>
        <v xml:space="preserve"> </v>
      </c>
      <c r="Q66" s="43" t="str">
        <f>IF(AND(K64="HIGH",J64="MODERATE")=TRUE(),"X"," ")</f>
        <v xml:space="preserve"> </v>
      </c>
      <c r="R66" s="43" t="str">
        <f>IF(AND(K64="VERY HIGH",J64="MODERATE")=TRUE(),"X"," ")</f>
        <v>X</v>
      </c>
      <c r="S66" s="45">
        <f>IF(J64=J52,T52,0)</f>
        <v>0</v>
      </c>
      <c r="T66" s="84"/>
      <c r="U66" s="93"/>
      <c r="V66" s="81"/>
      <c r="W66" s="84"/>
      <c r="X66" s="75"/>
      <c r="Y66" s="81"/>
      <c r="Z66" s="107"/>
      <c r="AA66" s="75"/>
      <c r="AB66" s="73"/>
      <c r="AC66" s="3"/>
      <c r="AD66" s="3"/>
      <c r="AE66" s="3"/>
      <c r="AF66" s="12"/>
      <c r="AG66" s="3"/>
      <c r="AH66" s="3"/>
      <c r="AI66" s="3"/>
      <c r="AJ66" s="3"/>
      <c r="AK66" s="3"/>
      <c r="AL66" s="3"/>
    </row>
    <row r="67" spans="1:38" ht="18" customHeight="1" x14ac:dyDescent="0.25">
      <c r="A67" s="3"/>
      <c r="B67" s="87"/>
      <c r="C67" s="120"/>
      <c r="D67" s="75"/>
      <c r="E67" s="143"/>
      <c r="F67" s="75"/>
      <c r="G67" s="75"/>
      <c r="H67" s="141"/>
      <c r="I67" s="84"/>
      <c r="J67" s="75"/>
      <c r="K67" s="93"/>
      <c r="L67" s="93"/>
      <c r="M67" s="40" t="s">
        <v>85</v>
      </c>
      <c r="N67" s="41" t="str">
        <f>IF(AND(K64="VERY LOW",J64="LOW")=TRUE(),"X"," ")</f>
        <v xml:space="preserve"> </v>
      </c>
      <c r="O67" s="46" t="str">
        <f>IF(AND(K64="LOW",J64="LOW")=TRUE(),"X"," ")</f>
        <v xml:space="preserve"> </v>
      </c>
      <c r="P67" s="42" t="str">
        <f>IF(AND(K64="MODERATE",J64="LOW")=TRUE(),"X"," ")</f>
        <v xml:space="preserve"> </v>
      </c>
      <c r="Q67" s="43" t="str">
        <f>IF(AND(K64="HIGH",J64="LOW")=TRUE(),"X"," ")</f>
        <v xml:space="preserve"> </v>
      </c>
      <c r="R67" s="43" t="str">
        <f>IF(AND(K64="VERY HIGH",J64="LOW")=TRUE(),"X"," ")</f>
        <v xml:space="preserve"> </v>
      </c>
      <c r="S67" s="45">
        <f>IF(J64=J53,T53,0)</f>
        <v>0</v>
      </c>
      <c r="T67" s="84"/>
      <c r="U67" s="93"/>
      <c r="V67" s="81"/>
      <c r="W67" s="84"/>
      <c r="X67" s="75"/>
      <c r="Y67" s="81"/>
      <c r="Z67" s="107"/>
      <c r="AA67" s="75"/>
      <c r="AB67" s="73"/>
      <c r="AC67" s="3"/>
      <c r="AD67" s="3"/>
      <c r="AE67" s="3"/>
      <c r="AF67" s="12" t="s">
        <v>86</v>
      </c>
      <c r="AG67" s="3"/>
      <c r="AH67" s="3"/>
      <c r="AI67" s="3"/>
      <c r="AJ67" s="3"/>
      <c r="AK67" s="3"/>
      <c r="AL67" s="3"/>
    </row>
    <row r="68" spans="1:38" ht="18" customHeight="1" x14ac:dyDescent="0.25">
      <c r="B68" s="87"/>
      <c r="C68" s="120"/>
      <c r="D68" s="75"/>
      <c r="E68" s="143"/>
      <c r="F68" s="75"/>
      <c r="G68" s="75"/>
      <c r="H68" s="141"/>
      <c r="I68" s="84"/>
      <c r="J68" s="75"/>
      <c r="K68" s="93"/>
      <c r="L68" s="93"/>
      <c r="M68" s="40" t="s">
        <v>87</v>
      </c>
      <c r="N68" s="47" t="str">
        <f>IF(AND(K64="VERY LOW",J64="VERY LOW")=TRUE(),"X"," ")</f>
        <v xml:space="preserve"> </v>
      </c>
      <c r="O68" s="48" t="str">
        <f>IF(AND(K64="LOW",J64="VERY LOW")=TRUE(),"X"," ")</f>
        <v xml:space="preserve"> </v>
      </c>
      <c r="P68" s="48" t="str">
        <f>IF(AND(K64="MODERATE",J64="VERY LOW")=TRUE(),"X"," ")</f>
        <v xml:space="preserve"> </v>
      </c>
      <c r="Q68" s="49" t="str">
        <f>IF(AND(K64="HIGH",J64="VERY LOW")=TRUE(),"X"," ")</f>
        <v xml:space="preserve"> </v>
      </c>
      <c r="R68" s="50" t="str">
        <f>IF(AND(K64="VERY HIGH",J64="VERY LOW")=TRUE(),"X"," ")</f>
        <v xml:space="preserve"> </v>
      </c>
      <c r="S68" s="3">
        <f>IF(J64=J54,T54,0)</f>
        <v>0</v>
      </c>
      <c r="T68" s="84"/>
      <c r="U68" s="93"/>
      <c r="V68" s="81"/>
      <c r="W68" s="84"/>
      <c r="X68" s="75"/>
      <c r="Y68" s="81"/>
      <c r="Z68" s="107"/>
      <c r="AA68" s="75"/>
      <c r="AB68" s="73"/>
      <c r="AC68"/>
      <c r="AF68" s="12" t="s">
        <v>88</v>
      </c>
    </row>
    <row r="69" spans="1:38" ht="14.25" customHeight="1" x14ac:dyDescent="0.25">
      <c r="B69" s="87"/>
      <c r="C69" s="120"/>
      <c r="D69" s="75"/>
      <c r="E69" s="143"/>
      <c r="F69" s="75"/>
      <c r="G69" s="75"/>
      <c r="H69" s="141"/>
      <c r="I69" s="84"/>
      <c r="J69" s="75"/>
      <c r="K69" s="93"/>
      <c r="L69" s="39"/>
      <c r="M69" s="40"/>
      <c r="N69" s="40" t="s">
        <v>87</v>
      </c>
      <c r="O69" s="40" t="s">
        <v>85</v>
      </c>
      <c r="P69" s="40" t="s">
        <v>84</v>
      </c>
      <c r="Q69" s="40" t="s">
        <v>83</v>
      </c>
      <c r="R69" s="40" t="s">
        <v>81</v>
      </c>
      <c r="S69" s="45"/>
      <c r="T69" s="84"/>
      <c r="U69" s="93"/>
      <c r="V69" s="81"/>
      <c r="W69" s="84"/>
      <c r="X69" s="75"/>
      <c r="Y69" s="81"/>
      <c r="Z69" s="107"/>
      <c r="AA69" s="75"/>
      <c r="AB69" s="73"/>
      <c r="AC69"/>
      <c r="AF69" s="12" t="s">
        <v>89</v>
      </c>
    </row>
    <row r="70" spans="1:38" ht="11.25" customHeight="1" x14ac:dyDescent="0.25">
      <c r="B70" s="104"/>
      <c r="C70" s="114"/>
      <c r="D70" s="75"/>
      <c r="E70" s="144"/>
      <c r="F70" s="80"/>
      <c r="G70" s="80"/>
      <c r="H70" s="142"/>
      <c r="I70" s="85"/>
      <c r="J70" s="80"/>
      <c r="K70" s="94"/>
      <c r="L70" s="51"/>
      <c r="M70" s="52"/>
      <c r="N70" s="99" t="s">
        <v>22</v>
      </c>
      <c r="O70" s="90"/>
      <c r="P70" s="90"/>
      <c r="Q70" s="90"/>
      <c r="R70" s="90"/>
      <c r="S70" s="53"/>
      <c r="T70" s="85"/>
      <c r="U70" s="94"/>
      <c r="V70" s="82"/>
      <c r="W70" s="85"/>
      <c r="X70" s="80"/>
      <c r="Y70" s="82"/>
      <c r="Z70" s="108"/>
      <c r="AA70" s="80"/>
      <c r="AB70" s="74"/>
      <c r="AC70"/>
      <c r="AF70" s="12" t="s">
        <v>90</v>
      </c>
    </row>
    <row r="71" spans="1:38" ht="6.6" customHeight="1" thickBot="1" x14ac:dyDescent="0.3">
      <c r="A71" s="27"/>
      <c r="B71" s="54"/>
      <c r="C71" s="55"/>
      <c r="D71" s="56"/>
      <c r="E71" s="56"/>
      <c r="F71" s="56"/>
      <c r="G71" s="57"/>
      <c r="H71" s="58"/>
      <c r="I71" s="59"/>
      <c r="J71" s="60"/>
      <c r="K71" s="60"/>
      <c r="L71" s="61"/>
      <c r="M71" s="62"/>
      <c r="N71" s="61"/>
      <c r="O71" s="63"/>
      <c r="P71" s="63"/>
      <c r="Q71" s="63"/>
      <c r="R71" s="63"/>
      <c r="S71" s="64"/>
      <c r="T71" s="65"/>
      <c r="U71" s="66"/>
      <c r="V71" s="66"/>
      <c r="W71" s="67"/>
      <c r="X71" s="68"/>
      <c r="Y71" s="69"/>
      <c r="Z71" s="70"/>
      <c r="AA71" s="71"/>
      <c r="AB71" s="72"/>
      <c r="AC71"/>
      <c r="AF71" s="12" t="s">
        <v>91</v>
      </c>
    </row>
    <row r="72" spans="1:38" ht="17.399999999999999" customHeight="1" thickTop="1" x14ac:dyDescent="0.25">
      <c r="A72" s="3"/>
      <c r="B72" s="103"/>
      <c r="C72" s="119" t="s">
        <v>34</v>
      </c>
      <c r="D72" s="160" t="s">
        <v>135</v>
      </c>
      <c r="E72" s="162" t="s">
        <v>165</v>
      </c>
      <c r="F72" s="163" t="s">
        <v>93</v>
      </c>
      <c r="G72" s="164" t="s">
        <v>137</v>
      </c>
      <c r="H72" s="166" t="s">
        <v>138</v>
      </c>
      <c r="I72" s="83" t="s">
        <v>42</v>
      </c>
      <c r="J72" s="79" t="s">
        <v>49</v>
      </c>
      <c r="K72" s="92" t="s">
        <v>49</v>
      </c>
      <c r="L72" s="106" t="s">
        <v>21</v>
      </c>
      <c r="M72" s="40" t="s">
        <v>81</v>
      </c>
      <c r="N72" s="41" t="str">
        <f>IF(AND(K72="VERY LOW",J72="VERY HIGH")=TRUE(),"X"," ")</f>
        <v xml:space="preserve"> </v>
      </c>
      <c r="O72" s="42" t="str">
        <f>IF(AND(K72="LOW",J72="VERY HIGH")=TRUE(),"X"," ")</f>
        <v xml:space="preserve"> </v>
      </c>
      <c r="P72" s="43" t="str">
        <f>IF(AND(K72="MODERATE",J72="VERY HIGH")=TRUE(),"X"," ")</f>
        <v xml:space="preserve"> </v>
      </c>
      <c r="Q72" s="43" t="str">
        <f>IF(AND(K72="HIGH",J72="VERY HIGH")=TRUE(),"X"," ")</f>
        <v xml:space="preserve"> </v>
      </c>
      <c r="R72" s="43" t="str">
        <f>IF(AND(K72="VERY HIGH",J72="VERY HIGH")=TRUE(),"X"," ")</f>
        <v xml:space="preserve"> </v>
      </c>
      <c r="S72" s="44">
        <f>IF(J72=J66,T66,0)</f>
        <v>0</v>
      </c>
      <c r="T72" s="112">
        <v>0.4</v>
      </c>
      <c r="U72" s="97">
        <v>2</v>
      </c>
      <c r="V72" s="110">
        <f>T72*U72</f>
        <v>0.8</v>
      </c>
      <c r="W72" s="168" t="s">
        <v>50</v>
      </c>
      <c r="X72" s="169" t="s">
        <v>157</v>
      </c>
      <c r="Y72" s="170" t="s">
        <v>139</v>
      </c>
      <c r="Z72" s="171" t="s">
        <v>140</v>
      </c>
      <c r="AA72" s="172" t="s">
        <v>99</v>
      </c>
      <c r="AB72" s="173" t="s">
        <v>176</v>
      </c>
      <c r="AC72" s="3"/>
      <c r="AD72" s="3"/>
      <c r="AE72" s="3"/>
      <c r="AF72" s="12" t="s">
        <v>82</v>
      </c>
      <c r="AG72" s="3"/>
      <c r="AH72" s="3"/>
      <c r="AI72" s="3"/>
      <c r="AJ72" s="3"/>
      <c r="AK72" s="3"/>
      <c r="AL72" s="3"/>
    </row>
    <row r="73" spans="1:38" ht="18" customHeight="1" x14ac:dyDescent="0.25">
      <c r="A73" s="3"/>
      <c r="B73" s="87"/>
      <c r="C73" s="120"/>
      <c r="D73" s="75"/>
      <c r="E73" s="143"/>
      <c r="F73" s="75"/>
      <c r="G73" s="75"/>
      <c r="H73" s="141"/>
      <c r="I73" s="84"/>
      <c r="J73" s="75"/>
      <c r="K73" s="93"/>
      <c r="L73" s="93"/>
      <c r="M73" s="40" t="s">
        <v>83</v>
      </c>
      <c r="N73" s="41" t="str">
        <f>IF(AND(K72="VERY LOW",J72="HIGH")=TRUE(),"X"," ")</f>
        <v xml:space="preserve"> </v>
      </c>
      <c r="O73" s="42" t="str">
        <f>IF(AND(K72="LOW",J72="HIGH")=TRUE(),"X"," ")</f>
        <v xml:space="preserve"> </v>
      </c>
      <c r="P73" s="43" t="str">
        <f>IF(AND(K72="MODERATE",J72="HIGH")=TRUE(),"X"," ")</f>
        <v xml:space="preserve"> </v>
      </c>
      <c r="Q73" s="43" t="str">
        <f>IF(AND(K72="HIGH",J72="HIGH")=TRUE(),"X"," ")</f>
        <v xml:space="preserve"> </v>
      </c>
      <c r="R73" s="43" t="str">
        <f>IF(AND(K72="VERY HIGH",J72="HIGH")=TRUE(),"X"," ")</f>
        <v xml:space="preserve"> </v>
      </c>
      <c r="S73" s="45">
        <f>IF(J72=J67,T67,0)</f>
        <v>0</v>
      </c>
      <c r="T73" s="84"/>
      <c r="U73" s="93"/>
      <c r="V73" s="81"/>
      <c r="W73" s="84"/>
      <c r="X73" s="75"/>
      <c r="Y73" s="81"/>
      <c r="Z73" s="107"/>
      <c r="AA73" s="75"/>
      <c r="AB73" s="73"/>
      <c r="AC73" s="3"/>
      <c r="AD73" s="3"/>
      <c r="AE73" s="3"/>
      <c r="AF73" s="12"/>
      <c r="AG73" s="3"/>
      <c r="AH73" s="3"/>
      <c r="AI73" s="3"/>
      <c r="AJ73" s="3"/>
      <c r="AK73" s="3"/>
      <c r="AL73" s="3"/>
    </row>
    <row r="74" spans="1:38" ht="18" customHeight="1" x14ac:dyDescent="0.25">
      <c r="A74" s="3"/>
      <c r="B74" s="87"/>
      <c r="C74" s="120"/>
      <c r="D74" s="75"/>
      <c r="E74" s="143"/>
      <c r="F74" s="75"/>
      <c r="G74" s="75"/>
      <c r="H74" s="141"/>
      <c r="I74" s="84"/>
      <c r="J74" s="75"/>
      <c r="K74" s="93"/>
      <c r="L74" s="93"/>
      <c r="M74" s="40" t="s">
        <v>84</v>
      </c>
      <c r="N74" s="41" t="str">
        <f>IF(AND(K72="VERY LOW",J72="MODERATE")=TRUE(),"X"," ")</f>
        <v xml:space="preserve"> </v>
      </c>
      <c r="O74" s="46" t="str">
        <f>IF(AND(K72="LOW",J72="MODERATE")=TRUE(),"X"," ")</f>
        <v xml:space="preserve"> </v>
      </c>
      <c r="P74" s="42" t="str">
        <f>IF(AND(K72="MODERATE",J72="MODERATE")=TRUE(),"X"," ")</f>
        <v>X</v>
      </c>
      <c r="Q74" s="43" t="str">
        <f>IF(AND(K72="HIGH",J72="MODERATE")=TRUE(),"X"," ")</f>
        <v xml:space="preserve"> </v>
      </c>
      <c r="R74" s="43" t="str">
        <f>IF(AND(K72="VERY HIGH",J72="MODERATE")=TRUE(),"X"," ")</f>
        <v xml:space="preserve"> </v>
      </c>
      <c r="S74" s="45">
        <f>IF(J72=J68,T68,0)</f>
        <v>0</v>
      </c>
      <c r="T74" s="84"/>
      <c r="U74" s="93"/>
      <c r="V74" s="81"/>
      <c r="W74" s="84"/>
      <c r="X74" s="75"/>
      <c r="Y74" s="81"/>
      <c r="Z74" s="107"/>
      <c r="AA74" s="75"/>
      <c r="AB74" s="73"/>
      <c r="AC74" s="3"/>
      <c r="AD74" s="3"/>
      <c r="AE74" s="3"/>
      <c r="AF74" s="12"/>
      <c r="AG74" s="3"/>
      <c r="AH74" s="3"/>
      <c r="AI74" s="3"/>
      <c r="AJ74" s="3"/>
      <c r="AK74" s="3"/>
      <c r="AL74" s="3"/>
    </row>
    <row r="75" spans="1:38" ht="18" customHeight="1" x14ac:dyDescent="0.25">
      <c r="A75" s="3"/>
      <c r="B75" s="87"/>
      <c r="C75" s="120"/>
      <c r="D75" s="75"/>
      <c r="E75" s="143"/>
      <c r="F75" s="75"/>
      <c r="G75" s="75"/>
      <c r="H75" s="141"/>
      <c r="I75" s="84"/>
      <c r="J75" s="75"/>
      <c r="K75" s="93"/>
      <c r="L75" s="93"/>
      <c r="M75" s="40" t="s">
        <v>85</v>
      </c>
      <c r="N75" s="41" t="str">
        <f>IF(AND(K72="VERY LOW",J72="LOW")=TRUE(),"X"," ")</f>
        <v xml:space="preserve"> </v>
      </c>
      <c r="O75" s="46" t="str">
        <f>IF(AND(K72="LOW",J72="LOW")=TRUE(),"X"," ")</f>
        <v xml:space="preserve"> </v>
      </c>
      <c r="P75" s="42" t="str">
        <f>IF(AND(K72="MODERATE",J72="LOW")=TRUE(),"X"," ")</f>
        <v xml:space="preserve"> </v>
      </c>
      <c r="Q75" s="43" t="str">
        <f>IF(AND(K72="HIGH",J72="LOW")=TRUE(),"X"," ")</f>
        <v xml:space="preserve"> </v>
      </c>
      <c r="R75" s="43" t="str">
        <f>IF(AND(K72="VERY HIGH",J72="LOW")=TRUE(),"X"," ")</f>
        <v xml:space="preserve"> </v>
      </c>
      <c r="S75" s="45">
        <f>IF(J72=J69,T69,0)</f>
        <v>0</v>
      </c>
      <c r="T75" s="84"/>
      <c r="U75" s="93"/>
      <c r="V75" s="81"/>
      <c r="W75" s="84"/>
      <c r="X75" s="75"/>
      <c r="Y75" s="81"/>
      <c r="Z75" s="107"/>
      <c r="AA75" s="75"/>
      <c r="AB75" s="73"/>
      <c r="AC75" s="3"/>
      <c r="AD75" s="3"/>
      <c r="AE75" s="3"/>
      <c r="AF75" s="12" t="s">
        <v>86</v>
      </c>
      <c r="AG75" s="3"/>
      <c r="AH75" s="3"/>
      <c r="AI75" s="3"/>
      <c r="AJ75" s="3"/>
      <c r="AK75" s="3"/>
      <c r="AL75" s="3"/>
    </row>
    <row r="76" spans="1:38" ht="18" customHeight="1" x14ac:dyDescent="0.25">
      <c r="B76" s="87"/>
      <c r="C76" s="120"/>
      <c r="D76" s="75"/>
      <c r="E76" s="143"/>
      <c r="F76" s="75"/>
      <c r="G76" s="75"/>
      <c r="H76" s="141"/>
      <c r="I76" s="84"/>
      <c r="J76" s="75"/>
      <c r="K76" s="93"/>
      <c r="L76" s="93"/>
      <c r="M76" s="40" t="s">
        <v>87</v>
      </c>
      <c r="N76" s="47" t="str">
        <f>IF(AND(K72="VERY LOW",J72="VERY LOW")=TRUE(),"X"," ")</f>
        <v xml:space="preserve"> </v>
      </c>
      <c r="O76" s="48" t="str">
        <f>IF(AND(K72="LOW",J72="VERY LOW")=TRUE(),"X"," ")</f>
        <v xml:space="preserve"> </v>
      </c>
      <c r="P76" s="48" t="str">
        <f>IF(AND(K72="MODERATE",J72="VERY LOW")=TRUE(),"X"," ")</f>
        <v xml:space="preserve"> </v>
      </c>
      <c r="Q76" s="49" t="str">
        <f>IF(AND(K72="HIGH",J72="VERY LOW")=TRUE(),"X"," ")</f>
        <v xml:space="preserve"> </v>
      </c>
      <c r="R76" s="50" t="str">
        <f>IF(AND(K72="VERY HIGH",J72="VERY LOW")=TRUE(),"X"," ")</f>
        <v xml:space="preserve"> </v>
      </c>
      <c r="S76" s="3">
        <f>IF(J72=J70,T70,0)</f>
        <v>0</v>
      </c>
      <c r="T76" s="84"/>
      <c r="U76" s="93"/>
      <c r="V76" s="81"/>
      <c r="W76" s="84"/>
      <c r="X76" s="75"/>
      <c r="Y76" s="81"/>
      <c r="Z76" s="107"/>
      <c r="AA76" s="75"/>
      <c r="AB76" s="73"/>
      <c r="AC76"/>
      <c r="AF76" s="12" t="s">
        <v>88</v>
      </c>
    </row>
    <row r="77" spans="1:38" ht="14.25" customHeight="1" x14ac:dyDescent="0.25">
      <c r="B77" s="87"/>
      <c r="C77" s="120"/>
      <c r="D77" s="75"/>
      <c r="E77" s="143"/>
      <c r="F77" s="75"/>
      <c r="G77" s="75"/>
      <c r="H77" s="141"/>
      <c r="I77" s="84"/>
      <c r="J77" s="75"/>
      <c r="K77" s="93"/>
      <c r="L77" s="39"/>
      <c r="M77" s="40"/>
      <c r="N77" s="40" t="s">
        <v>87</v>
      </c>
      <c r="O77" s="40" t="s">
        <v>85</v>
      </c>
      <c r="P77" s="40" t="s">
        <v>84</v>
      </c>
      <c r="Q77" s="40" t="s">
        <v>83</v>
      </c>
      <c r="R77" s="40" t="s">
        <v>81</v>
      </c>
      <c r="S77" s="45"/>
      <c r="T77" s="84"/>
      <c r="U77" s="93"/>
      <c r="V77" s="81"/>
      <c r="W77" s="84"/>
      <c r="X77" s="75"/>
      <c r="Y77" s="81"/>
      <c r="Z77" s="107"/>
      <c r="AA77" s="75"/>
      <c r="AB77" s="73"/>
      <c r="AC77"/>
      <c r="AF77" s="12" t="s">
        <v>89</v>
      </c>
    </row>
    <row r="78" spans="1:38" ht="10.8" customHeight="1" x14ac:dyDescent="0.25">
      <c r="B78" s="104"/>
      <c r="C78" s="114"/>
      <c r="D78" s="75"/>
      <c r="E78" s="144"/>
      <c r="F78" s="80"/>
      <c r="G78" s="80"/>
      <c r="H78" s="142"/>
      <c r="I78" s="85"/>
      <c r="J78" s="80"/>
      <c r="K78" s="94"/>
      <c r="L78" s="51"/>
      <c r="M78" s="52"/>
      <c r="N78" s="99" t="s">
        <v>22</v>
      </c>
      <c r="O78" s="90"/>
      <c r="P78" s="90"/>
      <c r="Q78" s="90"/>
      <c r="R78" s="90"/>
      <c r="S78" s="53"/>
      <c r="T78" s="85"/>
      <c r="U78" s="94"/>
      <c r="V78" s="82"/>
      <c r="W78" s="85"/>
      <c r="X78" s="80"/>
      <c r="Y78" s="82"/>
      <c r="Z78" s="108"/>
      <c r="AA78" s="80"/>
      <c r="AB78" s="74"/>
      <c r="AC78"/>
      <c r="AF78" s="12" t="s">
        <v>90</v>
      </c>
    </row>
    <row r="79" spans="1:38" ht="6.6" customHeight="1" thickBot="1" x14ac:dyDescent="0.3">
      <c r="A79" s="27"/>
      <c r="B79" s="54"/>
      <c r="C79" s="55"/>
      <c r="D79" s="56"/>
      <c r="E79" s="56"/>
      <c r="F79" s="56"/>
      <c r="G79" s="57"/>
      <c r="H79" s="58"/>
      <c r="I79" s="59"/>
      <c r="J79" s="60"/>
      <c r="K79" s="60"/>
      <c r="L79" s="61"/>
      <c r="M79" s="62"/>
      <c r="N79" s="61"/>
      <c r="O79" s="63"/>
      <c r="P79" s="63"/>
      <c r="Q79" s="63"/>
      <c r="R79" s="63"/>
      <c r="S79" s="64"/>
      <c r="T79" s="65"/>
      <c r="U79" s="66"/>
      <c r="V79" s="66"/>
      <c r="W79" s="67"/>
      <c r="X79" s="68"/>
      <c r="Y79" s="69"/>
      <c r="Z79" s="70"/>
      <c r="AA79" s="71"/>
      <c r="AB79" s="72"/>
      <c r="AC79"/>
      <c r="AF79" s="12" t="s">
        <v>91</v>
      </c>
    </row>
    <row r="80" spans="1:38" ht="17.399999999999999" customHeight="1" thickTop="1" x14ac:dyDescent="0.25">
      <c r="A80" s="3"/>
      <c r="B80" s="103"/>
      <c r="C80" s="119" t="s">
        <v>34</v>
      </c>
      <c r="D80" s="160" t="s">
        <v>136</v>
      </c>
      <c r="E80" s="162" t="s">
        <v>166</v>
      </c>
      <c r="F80" s="163" t="s">
        <v>93</v>
      </c>
      <c r="G80" s="164" t="s">
        <v>142</v>
      </c>
      <c r="H80" s="166" t="s">
        <v>143</v>
      </c>
      <c r="I80" s="83" t="s">
        <v>36</v>
      </c>
      <c r="J80" s="79" t="s">
        <v>54</v>
      </c>
      <c r="K80" s="92" t="s">
        <v>49</v>
      </c>
      <c r="L80" s="106" t="s">
        <v>21</v>
      </c>
      <c r="M80" s="40" t="s">
        <v>81</v>
      </c>
      <c r="N80" s="41" t="str">
        <f>IF(AND(K80="VERY LOW",J80="VERY HIGH")=TRUE(),"X"," ")</f>
        <v xml:space="preserve"> </v>
      </c>
      <c r="O80" s="42" t="str">
        <f>IF(AND(K80="LOW",J80="VERY HIGH")=TRUE(),"X"," ")</f>
        <v xml:space="preserve"> </v>
      </c>
      <c r="P80" s="43" t="str">
        <f>IF(AND(K80="MODERATE",J80="VERY HIGH")=TRUE(),"X"," ")</f>
        <v xml:space="preserve"> </v>
      </c>
      <c r="Q80" s="43" t="str">
        <f>IF(AND(K80="HIGH",J80="VERY HIGH")=TRUE(),"X"," ")</f>
        <v xml:space="preserve"> </v>
      </c>
      <c r="R80" s="43" t="str">
        <f>IF(AND(K80="VERY HIGH",J80="VERY HIGH")=TRUE(),"X"," ")</f>
        <v xml:space="preserve"> </v>
      </c>
      <c r="S80" s="44" t="e">
        <f>IF(J80=#REF!,#REF!,0)</f>
        <v>#REF!</v>
      </c>
      <c r="T80" s="112">
        <v>0.2</v>
      </c>
      <c r="U80" s="97">
        <v>2</v>
      </c>
      <c r="V80" s="110">
        <f>T80*U80</f>
        <v>0.4</v>
      </c>
      <c r="W80" s="168" t="s">
        <v>50</v>
      </c>
      <c r="X80" s="169" t="s">
        <v>144</v>
      </c>
      <c r="Y80" s="170" t="s">
        <v>145</v>
      </c>
      <c r="Z80" s="171" t="s">
        <v>146</v>
      </c>
      <c r="AA80" s="172" t="s">
        <v>99</v>
      </c>
      <c r="AB80" s="173" t="s">
        <v>177</v>
      </c>
      <c r="AC80" s="3"/>
      <c r="AD80" s="3"/>
      <c r="AE80" s="3"/>
      <c r="AF80" s="12" t="s">
        <v>82</v>
      </c>
      <c r="AG80" s="3"/>
      <c r="AH80" s="3"/>
      <c r="AI80" s="3"/>
      <c r="AJ80" s="3"/>
      <c r="AK80" s="3"/>
      <c r="AL80" s="3"/>
    </row>
    <row r="81" spans="1:38" ht="18" customHeight="1" x14ac:dyDescent="0.25">
      <c r="A81" s="3"/>
      <c r="B81" s="87"/>
      <c r="C81" s="120"/>
      <c r="D81" s="75"/>
      <c r="E81" s="143"/>
      <c r="F81" s="75"/>
      <c r="G81" s="75"/>
      <c r="H81" s="141"/>
      <c r="I81" s="84"/>
      <c r="J81" s="75"/>
      <c r="K81" s="93"/>
      <c r="L81" s="93"/>
      <c r="M81" s="40" t="s">
        <v>83</v>
      </c>
      <c r="N81" s="41" t="str">
        <f>IF(AND(K80="VERY LOW",J80="HIGH")=TRUE(),"X"," ")</f>
        <v xml:space="preserve"> </v>
      </c>
      <c r="O81" s="42" t="str">
        <f>IF(AND(K80="LOW",J80="HIGH")=TRUE(),"X"," ")</f>
        <v xml:space="preserve"> </v>
      </c>
      <c r="P81" s="43" t="str">
        <f>IF(AND(K80="MODERATE",J80="HIGH")=TRUE(),"X"," ")</f>
        <v xml:space="preserve"> </v>
      </c>
      <c r="Q81" s="43" t="str">
        <f>IF(AND(K80="HIGH",J80="HIGH")=TRUE(),"X"," ")</f>
        <v xml:space="preserve"> </v>
      </c>
      <c r="R81" s="43" t="str">
        <f>IF(AND(K80="VERY HIGH",J80="HIGH")=TRUE(),"X"," ")</f>
        <v xml:space="preserve"> </v>
      </c>
      <c r="S81" s="45" t="e">
        <f>IF(J80=#REF!,#REF!,0)</f>
        <v>#REF!</v>
      </c>
      <c r="T81" s="84"/>
      <c r="U81" s="93"/>
      <c r="V81" s="81"/>
      <c r="W81" s="84"/>
      <c r="X81" s="75"/>
      <c r="Y81" s="81"/>
      <c r="Z81" s="107"/>
      <c r="AA81" s="75"/>
      <c r="AB81" s="73"/>
      <c r="AC81" s="3"/>
      <c r="AD81" s="3"/>
      <c r="AE81" s="3"/>
      <c r="AF81" s="12"/>
      <c r="AG81" s="3"/>
      <c r="AH81" s="3"/>
      <c r="AI81" s="3"/>
      <c r="AJ81" s="3"/>
      <c r="AK81" s="3"/>
      <c r="AL81" s="3"/>
    </row>
    <row r="82" spans="1:38" ht="18" customHeight="1" x14ac:dyDescent="0.25">
      <c r="A82" s="3"/>
      <c r="B82" s="87"/>
      <c r="C82" s="120"/>
      <c r="D82" s="75"/>
      <c r="E82" s="143"/>
      <c r="F82" s="75"/>
      <c r="G82" s="75"/>
      <c r="H82" s="141"/>
      <c r="I82" s="84"/>
      <c r="J82" s="75"/>
      <c r="K82" s="93"/>
      <c r="L82" s="93"/>
      <c r="M82" s="40" t="s">
        <v>84</v>
      </c>
      <c r="N82" s="41" t="str">
        <f>IF(AND(K80="VERY LOW",J80="MODERATE")=TRUE(),"X"," ")</f>
        <v xml:space="preserve"> </v>
      </c>
      <c r="O82" s="46" t="str">
        <f>IF(AND(K80="LOW",J80="MODERATE")=TRUE(),"X"," ")</f>
        <v xml:space="preserve"> </v>
      </c>
      <c r="P82" s="42" t="str">
        <f>IF(AND(K80="MODERATE",J80="MODERATE")=TRUE(),"X"," ")</f>
        <v xml:space="preserve"> </v>
      </c>
      <c r="Q82" s="43" t="str">
        <f>IF(AND(K80="HIGH",J80="MODERATE")=TRUE(),"X"," ")</f>
        <v xml:space="preserve"> </v>
      </c>
      <c r="R82" s="43" t="str">
        <f>IF(AND(K80="VERY HIGH",J80="MODERATE")=TRUE(),"X"," ")</f>
        <v xml:space="preserve"> </v>
      </c>
      <c r="S82" s="45" t="e">
        <f>IF(J80=#REF!,#REF!,0)</f>
        <v>#REF!</v>
      </c>
      <c r="T82" s="84"/>
      <c r="U82" s="93"/>
      <c r="V82" s="81"/>
      <c r="W82" s="84"/>
      <c r="X82" s="75"/>
      <c r="Y82" s="81"/>
      <c r="Z82" s="107"/>
      <c r="AA82" s="75"/>
      <c r="AB82" s="73"/>
      <c r="AC82" s="3"/>
      <c r="AD82" s="3"/>
      <c r="AE82" s="3"/>
      <c r="AF82" s="12"/>
      <c r="AG82" s="3"/>
      <c r="AH82" s="3"/>
      <c r="AI82" s="3"/>
      <c r="AJ82" s="3"/>
      <c r="AK82" s="3"/>
      <c r="AL82" s="3"/>
    </row>
    <row r="83" spans="1:38" ht="18" customHeight="1" x14ac:dyDescent="0.25">
      <c r="A83" s="3"/>
      <c r="B83" s="87"/>
      <c r="C83" s="120"/>
      <c r="D83" s="75"/>
      <c r="E83" s="143"/>
      <c r="F83" s="75"/>
      <c r="G83" s="75"/>
      <c r="H83" s="141"/>
      <c r="I83" s="84"/>
      <c r="J83" s="75"/>
      <c r="K83" s="93"/>
      <c r="L83" s="93"/>
      <c r="M83" s="40" t="s">
        <v>85</v>
      </c>
      <c r="N83" s="41" t="str">
        <f>IF(AND(K80="VERY LOW",J80="LOW")=TRUE(),"X"," ")</f>
        <v xml:space="preserve"> </v>
      </c>
      <c r="O83" s="46" t="str">
        <f>IF(AND(K80="LOW",J80="LOW")=TRUE(),"X"," ")</f>
        <v xml:space="preserve"> </v>
      </c>
      <c r="P83" s="42" t="str">
        <f>IF(AND(K80="MODERATE",J80="LOW")=TRUE(),"X"," ")</f>
        <v>X</v>
      </c>
      <c r="Q83" s="43" t="str">
        <f>IF(AND(K80="HIGH",J80="LOW")=TRUE(),"X"," ")</f>
        <v xml:space="preserve"> </v>
      </c>
      <c r="R83" s="43" t="str">
        <f>IF(AND(K80="VERY HIGH",J80="LOW")=TRUE(),"X"," ")</f>
        <v xml:space="preserve"> </v>
      </c>
      <c r="S83" s="45" t="e">
        <f>IF(J80=#REF!,#REF!,0)</f>
        <v>#REF!</v>
      </c>
      <c r="T83" s="84"/>
      <c r="U83" s="93"/>
      <c r="V83" s="81"/>
      <c r="W83" s="84"/>
      <c r="X83" s="75"/>
      <c r="Y83" s="81"/>
      <c r="Z83" s="107"/>
      <c r="AA83" s="75"/>
      <c r="AB83" s="73"/>
      <c r="AC83" s="3"/>
      <c r="AD83" s="3"/>
      <c r="AE83" s="3"/>
      <c r="AF83" s="12" t="s">
        <v>86</v>
      </c>
      <c r="AG83" s="3"/>
      <c r="AH83" s="3"/>
      <c r="AI83" s="3"/>
      <c r="AJ83" s="3"/>
      <c r="AK83" s="3"/>
      <c r="AL83" s="3"/>
    </row>
    <row r="84" spans="1:38" ht="18" customHeight="1" x14ac:dyDescent="0.25">
      <c r="B84" s="87"/>
      <c r="C84" s="120"/>
      <c r="D84" s="75"/>
      <c r="E84" s="143"/>
      <c r="F84" s="75"/>
      <c r="G84" s="75"/>
      <c r="H84" s="141"/>
      <c r="I84" s="84"/>
      <c r="J84" s="75"/>
      <c r="K84" s="93"/>
      <c r="L84" s="93"/>
      <c r="M84" s="40" t="s">
        <v>87</v>
      </c>
      <c r="N84" s="47" t="str">
        <f>IF(AND(K80="VERY LOW",J80="VERY LOW")=TRUE(),"X"," ")</f>
        <v xml:space="preserve"> </v>
      </c>
      <c r="O84" s="48" t="str">
        <f>IF(AND(K80="LOW",J80="VERY LOW")=TRUE(),"X"," ")</f>
        <v xml:space="preserve"> </v>
      </c>
      <c r="P84" s="48" t="str">
        <f>IF(AND(K80="MODERATE",J80="VERY LOW")=TRUE(),"X"," ")</f>
        <v xml:space="preserve"> </v>
      </c>
      <c r="Q84" s="49" t="str">
        <f>IF(AND(K80="HIGH",J80="VERY LOW")=TRUE(),"X"," ")</f>
        <v xml:space="preserve"> </v>
      </c>
      <c r="R84" s="50" t="str">
        <f>IF(AND(K80="VERY HIGH",J80="VERY LOW")=TRUE(),"X"," ")</f>
        <v xml:space="preserve"> </v>
      </c>
      <c r="S84" s="3" t="e">
        <f>IF(J80=#REF!,#REF!,0)</f>
        <v>#REF!</v>
      </c>
      <c r="T84" s="84"/>
      <c r="U84" s="93"/>
      <c r="V84" s="81"/>
      <c r="W84" s="84"/>
      <c r="X84" s="75"/>
      <c r="Y84" s="81"/>
      <c r="Z84" s="107"/>
      <c r="AA84" s="75"/>
      <c r="AB84" s="73"/>
      <c r="AC84"/>
      <c r="AF84" s="12" t="s">
        <v>88</v>
      </c>
    </row>
    <row r="85" spans="1:38" ht="14.25" customHeight="1" x14ac:dyDescent="0.25">
      <c r="B85" s="87"/>
      <c r="C85" s="120"/>
      <c r="D85" s="75"/>
      <c r="E85" s="143"/>
      <c r="F85" s="75"/>
      <c r="G85" s="75"/>
      <c r="H85" s="141"/>
      <c r="I85" s="84"/>
      <c r="J85" s="75"/>
      <c r="K85" s="93"/>
      <c r="L85" s="39"/>
      <c r="M85" s="40"/>
      <c r="N85" s="40" t="s">
        <v>87</v>
      </c>
      <c r="O85" s="40" t="s">
        <v>85</v>
      </c>
      <c r="P85" s="40" t="s">
        <v>84</v>
      </c>
      <c r="Q85" s="40" t="s">
        <v>83</v>
      </c>
      <c r="R85" s="40" t="s">
        <v>81</v>
      </c>
      <c r="S85" s="45"/>
      <c r="T85" s="84"/>
      <c r="U85" s="93"/>
      <c r="V85" s="81"/>
      <c r="W85" s="84"/>
      <c r="X85" s="75"/>
      <c r="Y85" s="81"/>
      <c r="Z85" s="107"/>
      <c r="AA85" s="75"/>
      <c r="AB85" s="73"/>
      <c r="AC85"/>
      <c r="AF85" s="12" t="s">
        <v>89</v>
      </c>
    </row>
    <row r="86" spans="1:38" ht="10.8" customHeight="1" x14ac:dyDescent="0.25">
      <c r="B86" s="104"/>
      <c r="C86" s="114"/>
      <c r="D86" s="75"/>
      <c r="E86" s="144"/>
      <c r="F86" s="80"/>
      <c r="G86" s="80"/>
      <c r="H86" s="142"/>
      <c r="I86" s="85"/>
      <c r="J86" s="80"/>
      <c r="K86" s="94"/>
      <c r="L86" s="51"/>
      <c r="M86" s="52"/>
      <c r="N86" s="99" t="s">
        <v>22</v>
      </c>
      <c r="O86" s="90"/>
      <c r="P86" s="90"/>
      <c r="Q86" s="90"/>
      <c r="R86" s="90"/>
      <c r="S86" s="53"/>
      <c r="T86" s="85"/>
      <c r="U86" s="94"/>
      <c r="V86" s="82"/>
      <c r="W86" s="85"/>
      <c r="X86" s="80"/>
      <c r="Y86" s="82"/>
      <c r="Z86" s="108"/>
      <c r="AA86" s="80"/>
      <c r="AB86" s="74"/>
      <c r="AC86"/>
      <c r="AF86" s="12" t="s">
        <v>90</v>
      </c>
    </row>
    <row r="87" spans="1:38" ht="6.6" customHeight="1" thickBot="1" x14ac:dyDescent="0.3">
      <c r="A87" s="27"/>
      <c r="B87" s="54"/>
      <c r="C87" s="55"/>
      <c r="D87" s="56"/>
      <c r="E87" s="56"/>
      <c r="F87" s="56"/>
      <c r="G87" s="57"/>
      <c r="H87" s="58"/>
      <c r="I87" s="59"/>
      <c r="J87" s="60"/>
      <c r="K87" s="60"/>
      <c r="L87" s="61"/>
      <c r="M87" s="62"/>
      <c r="N87" s="61"/>
      <c r="O87" s="63"/>
      <c r="P87" s="63"/>
      <c r="Q87" s="63"/>
      <c r="R87" s="63"/>
      <c r="S87" s="64"/>
      <c r="T87" s="65"/>
      <c r="U87" s="66"/>
      <c r="V87" s="66"/>
      <c r="W87" s="67"/>
      <c r="X87" s="68"/>
      <c r="Y87" s="69"/>
      <c r="Z87" s="70"/>
      <c r="AA87" s="71"/>
      <c r="AB87" s="72"/>
      <c r="AC87"/>
      <c r="AF87" s="12" t="s">
        <v>91</v>
      </c>
    </row>
    <row r="88" spans="1:38" ht="17.399999999999999" customHeight="1" thickTop="1" x14ac:dyDescent="0.25">
      <c r="A88" s="3"/>
      <c r="B88" s="103"/>
      <c r="C88" s="119" t="s">
        <v>34</v>
      </c>
      <c r="D88" s="160" t="s">
        <v>141</v>
      </c>
      <c r="E88" s="162" t="s">
        <v>167</v>
      </c>
      <c r="F88" s="163" t="s">
        <v>93</v>
      </c>
      <c r="G88" s="164" t="s">
        <v>148</v>
      </c>
      <c r="H88" s="166" t="s">
        <v>149</v>
      </c>
      <c r="I88" s="83" t="s">
        <v>53</v>
      </c>
      <c r="J88" s="79" t="s">
        <v>54</v>
      </c>
      <c r="K88" s="92" t="s">
        <v>37</v>
      </c>
      <c r="L88" s="106" t="s">
        <v>21</v>
      </c>
      <c r="M88" s="40" t="s">
        <v>81</v>
      </c>
      <c r="N88" s="41" t="str">
        <f>IF(AND(K88="VERY LOW",J88="VERY HIGH")=TRUE(),"X"," ")</f>
        <v xml:space="preserve"> </v>
      </c>
      <c r="O88" s="42" t="str">
        <f>IF(AND(K88="LOW",J88="VERY HIGH")=TRUE(),"X"," ")</f>
        <v xml:space="preserve"> </v>
      </c>
      <c r="P88" s="43" t="str">
        <f>IF(AND(K88="MODERATE",J88="VERY HIGH")=TRUE(),"X"," ")</f>
        <v xml:space="preserve"> </v>
      </c>
      <c r="Q88" s="43" t="str">
        <f>IF(AND(K88="HIGH",J88="VERY HIGH")=TRUE(),"X"," ")</f>
        <v xml:space="preserve"> </v>
      </c>
      <c r="R88" s="43" t="str">
        <f>IF(AND(K88="VERY HIGH",J88="VERY HIGH")=TRUE(),"X"," ")</f>
        <v xml:space="preserve"> </v>
      </c>
      <c r="S88" s="44">
        <f>IF(J88=J74,T74,0)</f>
        <v>0</v>
      </c>
      <c r="T88" s="112">
        <v>0.2</v>
      </c>
      <c r="U88" s="97">
        <v>10</v>
      </c>
      <c r="V88" s="110">
        <f>T88*U88</f>
        <v>2</v>
      </c>
      <c r="W88" s="168" t="s">
        <v>115</v>
      </c>
      <c r="X88" s="169" t="s">
        <v>150</v>
      </c>
      <c r="Y88" s="170" t="s">
        <v>151</v>
      </c>
      <c r="Z88" s="171" t="s">
        <v>118</v>
      </c>
      <c r="AA88" s="172" t="s">
        <v>99</v>
      </c>
      <c r="AB88" s="173" t="s">
        <v>178</v>
      </c>
      <c r="AC88" s="3"/>
      <c r="AD88" s="3"/>
      <c r="AE88" s="3"/>
      <c r="AF88" s="12" t="s">
        <v>82</v>
      </c>
      <c r="AG88" s="3"/>
      <c r="AH88" s="3"/>
      <c r="AI88" s="3"/>
      <c r="AJ88" s="3"/>
      <c r="AK88" s="3"/>
      <c r="AL88" s="3"/>
    </row>
    <row r="89" spans="1:38" ht="18" customHeight="1" x14ac:dyDescent="0.25">
      <c r="A89" s="3"/>
      <c r="B89" s="87"/>
      <c r="C89" s="120"/>
      <c r="D89" s="75"/>
      <c r="E89" s="143"/>
      <c r="F89" s="75"/>
      <c r="G89" s="75"/>
      <c r="H89" s="141"/>
      <c r="I89" s="84"/>
      <c r="J89" s="75"/>
      <c r="K89" s="93"/>
      <c r="L89" s="93"/>
      <c r="M89" s="40" t="s">
        <v>83</v>
      </c>
      <c r="N89" s="41" t="str">
        <f>IF(AND(K88="VERY LOW",J88="HIGH")=TRUE(),"X"," ")</f>
        <v xml:space="preserve"> </v>
      </c>
      <c r="O89" s="42" t="str">
        <f>IF(AND(K88="LOW",J88="HIGH")=TRUE(),"X"," ")</f>
        <v xml:space="preserve"> </v>
      </c>
      <c r="P89" s="43" t="str">
        <f>IF(AND(K88="MODERATE",J88="HIGH")=TRUE(),"X"," ")</f>
        <v xml:space="preserve"> </v>
      </c>
      <c r="Q89" s="43" t="str">
        <f>IF(AND(K88="HIGH",J88="HIGH")=TRUE(),"X"," ")</f>
        <v xml:space="preserve"> </v>
      </c>
      <c r="R89" s="43" t="str">
        <f>IF(AND(K88="VERY HIGH",J88="HIGH")=TRUE(),"X"," ")</f>
        <v xml:space="preserve"> </v>
      </c>
      <c r="S89" s="45">
        <f>IF(J88=J75,T75,0)</f>
        <v>0</v>
      </c>
      <c r="T89" s="84"/>
      <c r="U89" s="93"/>
      <c r="V89" s="81"/>
      <c r="W89" s="84"/>
      <c r="X89" s="75"/>
      <c r="Y89" s="81"/>
      <c r="Z89" s="107"/>
      <c r="AA89" s="75"/>
      <c r="AB89" s="73"/>
      <c r="AC89" s="3"/>
      <c r="AD89" s="3"/>
      <c r="AE89" s="3"/>
      <c r="AF89" s="12"/>
      <c r="AG89" s="3"/>
      <c r="AH89" s="3"/>
      <c r="AI89" s="3"/>
      <c r="AJ89" s="3"/>
      <c r="AK89" s="3"/>
      <c r="AL89" s="3"/>
    </row>
    <row r="90" spans="1:38" ht="18" customHeight="1" x14ac:dyDescent="0.25">
      <c r="A90" s="3"/>
      <c r="B90" s="87"/>
      <c r="C90" s="120"/>
      <c r="D90" s="75"/>
      <c r="E90" s="143"/>
      <c r="F90" s="75"/>
      <c r="G90" s="75"/>
      <c r="H90" s="141"/>
      <c r="I90" s="84"/>
      <c r="J90" s="75"/>
      <c r="K90" s="93"/>
      <c r="L90" s="93"/>
      <c r="M90" s="40" t="s">
        <v>84</v>
      </c>
      <c r="N90" s="41" t="str">
        <f>IF(AND(K88="VERY LOW",J88="MODERATE")=TRUE(),"X"," ")</f>
        <v xml:space="preserve"> </v>
      </c>
      <c r="O90" s="46" t="str">
        <f>IF(AND(K88="LOW",J88="MODERATE")=TRUE(),"X"," ")</f>
        <v xml:space="preserve"> </v>
      </c>
      <c r="P90" s="42" t="str">
        <f>IF(AND(K88="MODERATE",J88="MODERATE")=TRUE(),"X"," ")</f>
        <v xml:space="preserve"> </v>
      </c>
      <c r="Q90" s="43" t="str">
        <f>IF(AND(K88="HIGH",J88="MODERATE")=TRUE(),"X"," ")</f>
        <v xml:space="preserve"> </v>
      </c>
      <c r="R90" s="43" t="str">
        <f>IF(AND(K88="VERY HIGH",J88="MODERATE")=TRUE(),"X"," ")</f>
        <v xml:space="preserve"> </v>
      </c>
      <c r="S90" s="45">
        <f>IF(J88=J76,T76,0)</f>
        <v>0</v>
      </c>
      <c r="T90" s="84"/>
      <c r="U90" s="93"/>
      <c r="V90" s="81"/>
      <c r="W90" s="84"/>
      <c r="X90" s="75"/>
      <c r="Y90" s="81"/>
      <c r="Z90" s="107"/>
      <c r="AA90" s="75"/>
      <c r="AB90" s="73"/>
      <c r="AC90" s="3"/>
      <c r="AD90" s="3"/>
      <c r="AE90" s="3"/>
      <c r="AF90" s="12"/>
      <c r="AG90" s="3"/>
      <c r="AH90" s="3"/>
      <c r="AI90" s="3"/>
      <c r="AJ90" s="3"/>
      <c r="AK90" s="3"/>
      <c r="AL90" s="3"/>
    </row>
    <row r="91" spans="1:38" ht="18" customHeight="1" x14ac:dyDescent="0.25">
      <c r="A91" s="3"/>
      <c r="B91" s="87"/>
      <c r="C91" s="120"/>
      <c r="D91" s="75"/>
      <c r="E91" s="143"/>
      <c r="F91" s="75"/>
      <c r="G91" s="75"/>
      <c r="H91" s="141"/>
      <c r="I91" s="84"/>
      <c r="J91" s="75"/>
      <c r="K91" s="93"/>
      <c r="L91" s="93"/>
      <c r="M91" s="40" t="s">
        <v>85</v>
      </c>
      <c r="N91" s="41" t="str">
        <f>IF(AND(K88="VERY LOW",J88="LOW")=TRUE(),"X"," ")</f>
        <v xml:space="preserve"> </v>
      </c>
      <c r="O91" s="46" t="str">
        <f>IF(AND(K88="LOW",J88="LOW")=TRUE(),"X"," ")</f>
        <v xml:space="preserve"> </v>
      </c>
      <c r="P91" s="42" t="str">
        <f>IF(AND(K88="MODERATE",J88="LOW")=TRUE(),"X"," ")</f>
        <v xml:space="preserve"> </v>
      </c>
      <c r="Q91" s="43" t="str">
        <f>IF(AND(K88="HIGH",J88="LOW")=TRUE(),"X"," ")</f>
        <v xml:space="preserve"> </v>
      </c>
      <c r="R91" s="43" t="str">
        <f>IF(AND(K88="VERY HIGH",J88="LOW")=TRUE(),"X"," ")</f>
        <v>X</v>
      </c>
      <c r="S91" s="45">
        <f>IF(J88=J77,T77,0)</f>
        <v>0</v>
      </c>
      <c r="T91" s="84"/>
      <c r="U91" s="93"/>
      <c r="V91" s="81"/>
      <c r="W91" s="84"/>
      <c r="X91" s="75"/>
      <c r="Y91" s="81"/>
      <c r="Z91" s="107"/>
      <c r="AA91" s="75"/>
      <c r="AB91" s="73"/>
      <c r="AC91" s="3"/>
      <c r="AD91" s="3"/>
      <c r="AE91" s="3"/>
      <c r="AF91" s="12" t="s">
        <v>86</v>
      </c>
      <c r="AG91" s="3"/>
      <c r="AH91" s="3"/>
      <c r="AI91" s="3"/>
      <c r="AJ91" s="3"/>
      <c r="AK91" s="3"/>
      <c r="AL91" s="3"/>
    </row>
    <row r="92" spans="1:38" ht="18" customHeight="1" x14ac:dyDescent="0.25">
      <c r="B92" s="87"/>
      <c r="C92" s="120"/>
      <c r="D92" s="75"/>
      <c r="E92" s="143"/>
      <c r="F92" s="75"/>
      <c r="G92" s="75"/>
      <c r="H92" s="141"/>
      <c r="I92" s="84"/>
      <c r="J92" s="75"/>
      <c r="K92" s="93"/>
      <c r="L92" s="93"/>
      <c r="M92" s="40" t="s">
        <v>87</v>
      </c>
      <c r="N92" s="47" t="str">
        <f>IF(AND(K88="VERY LOW",J88="VERY LOW")=TRUE(),"X"," ")</f>
        <v xml:space="preserve"> </v>
      </c>
      <c r="O92" s="48" t="str">
        <f>IF(AND(K88="LOW",J88="VERY LOW")=TRUE(),"X"," ")</f>
        <v xml:space="preserve"> </v>
      </c>
      <c r="P92" s="48" t="str">
        <f>IF(AND(K88="MODERATE",J88="VERY LOW")=TRUE(),"X"," ")</f>
        <v xml:space="preserve"> </v>
      </c>
      <c r="Q92" s="49" t="str">
        <f>IF(AND(K88="HIGH",J88="VERY LOW")=TRUE(),"X"," ")</f>
        <v xml:space="preserve"> </v>
      </c>
      <c r="R92" s="50" t="str">
        <f>IF(AND(K88="VERY HIGH",J88="VERY LOW")=TRUE(),"X"," ")</f>
        <v xml:space="preserve"> </v>
      </c>
      <c r="S92" s="3">
        <f>IF(J88=J78,T78,0)</f>
        <v>0</v>
      </c>
      <c r="T92" s="84"/>
      <c r="U92" s="93"/>
      <c r="V92" s="81"/>
      <c r="W92" s="84"/>
      <c r="X92" s="75"/>
      <c r="Y92" s="81"/>
      <c r="Z92" s="107"/>
      <c r="AA92" s="75"/>
      <c r="AB92" s="73"/>
      <c r="AC92"/>
      <c r="AF92" s="12" t="s">
        <v>88</v>
      </c>
    </row>
    <row r="93" spans="1:38" ht="14.25" customHeight="1" x14ac:dyDescent="0.25">
      <c r="B93" s="87"/>
      <c r="C93" s="120"/>
      <c r="D93" s="75"/>
      <c r="E93" s="143"/>
      <c r="F93" s="75"/>
      <c r="G93" s="75"/>
      <c r="H93" s="141"/>
      <c r="I93" s="84"/>
      <c r="J93" s="75"/>
      <c r="K93" s="93"/>
      <c r="L93" s="39"/>
      <c r="M93" s="40"/>
      <c r="N93" s="40" t="s">
        <v>87</v>
      </c>
      <c r="O93" s="40" t="s">
        <v>85</v>
      </c>
      <c r="P93" s="40" t="s">
        <v>84</v>
      </c>
      <c r="Q93" s="40" t="s">
        <v>83</v>
      </c>
      <c r="R93" s="40" t="s">
        <v>81</v>
      </c>
      <c r="S93" s="45"/>
      <c r="T93" s="84"/>
      <c r="U93" s="93"/>
      <c r="V93" s="81"/>
      <c r="W93" s="84"/>
      <c r="X93" s="75"/>
      <c r="Y93" s="81"/>
      <c r="Z93" s="107"/>
      <c r="AA93" s="75"/>
      <c r="AB93" s="73"/>
      <c r="AC93"/>
      <c r="AF93" s="12" t="s">
        <v>89</v>
      </c>
    </row>
    <row r="94" spans="1:38" ht="10.8" customHeight="1" x14ac:dyDescent="0.25">
      <c r="B94" s="104"/>
      <c r="C94" s="114"/>
      <c r="D94" s="75"/>
      <c r="E94" s="144"/>
      <c r="F94" s="80"/>
      <c r="G94" s="80"/>
      <c r="H94" s="142"/>
      <c r="I94" s="85"/>
      <c r="J94" s="80"/>
      <c r="K94" s="94"/>
      <c r="L94" s="51"/>
      <c r="M94" s="52"/>
      <c r="N94" s="99" t="s">
        <v>22</v>
      </c>
      <c r="O94" s="90"/>
      <c r="P94" s="90"/>
      <c r="Q94" s="90"/>
      <c r="R94" s="90"/>
      <c r="S94" s="53"/>
      <c r="T94" s="85"/>
      <c r="U94" s="94"/>
      <c r="V94" s="82"/>
      <c r="W94" s="85"/>
      <c r="X94" s="80"/>
      <c r="Y94" s="82"/>
      <c r="Z94" s="108"/>
      <c r="AA94" s="80"/>
      <c r="AB94" s="74"/>
      <c r="AC94"/>
      <c r="AF94" s="12" t="s">
        <v>90</v>
      </c>
    </row>
    <row r="95" spans="1:38" ht="6.6" customHeight="1" thickBot="1" x14ac:dyDescent="0.3">
      <c r="A95" s="27"/>
      <c r="B95" s="54"/>
      <c r="C95" s="55"/>
      <c r="D95" s="56"/>
      <c r="E95" s="56"/>
      <c r="F95" s="56"/>
      <c r="G95" s="57"/>
      <c r="H95" s="58"/>
      <c r="I95" s="59"/>
      <c r="J95" s="60"/>
      <c r="K95" s="60"/>
      <c r="L95" s="61"/>
      <c r="M95" s="62"/>
      <c r="N95" s="61"/>
      <c r="O95" s="63"/>
      <c r="P95" s="63"/>
      <c r="Q95" s="63"/>
      <c r="R95" s="63"/>
      <c r="S95" s="64"/>
      <c r="T95" s="65"/>
      <c r="U95" s="66"/>
      <c r="V95" s="66"/>
      <c r="W95" s="67"/>
      <c r="X95" s="68"/>
      <c r="Y95" s="69"/>
      <c r="Z95" s="70"/>
      <c r="AA95" s="71"/>
      <c r="AB95" s="72"/>
      <c r="AC95"/>
      <c r="AF95" s="12" t="s">
        <v>91</v>
      </c>
    </row>
    <row r="96" spans="1:38" ht="17.399999999999999" customHeight="1" thickTop="1" x14ac:dyDescent="0.25">
      <c r="A96" s="3"/>
      <c r="B96" s="103"/>
      <c r="C96" s="119" t="s">
        <v>34</v>
      </c>
      <c r="D96" s="160" t="s">
        <v>147</v>
      </c>
      <c r="E96" s="162" t="s">
        <v>168</v>
      </c>
      <c r="F96" s="163" t="s">
        <v>93</v>
      </c>
      <c r="G96" s="164" t="s">
        <v>152</v>
      </c>
      <c r="H96" s="166" t="s">
        <v>153</v>
      </c>
      <c r="I96" s="83" t="s">
        <v>53</v>
      </c>
      <c r="J96" s="79" t="s">
        <v>54</v>
      </c>
      <c r="K96" s="92" t="s">
        <v>37</v>
      </c>
      <c r="L96" s="106" t="s">
        <v>21</v>
      </c>
      <c r="M96" s="40" t="s">
        <v>81</v>
      </c>
      <c r="N96" s="41" t="str">
        <f>IF(AND(K96="VERY LOW",J96="VERY HIGH")=TRUE(),"X"," ")</f>
        <v xml:space="preserve"> </v>
      </c>
      <c r="O96" s="42" t="str">
        <f>IF(AND(K96="LOW",J96="VERY HIGH")=TRUE(),"X"," ")</f>
        <v xml:space="preserve"> </v>
      </c>
      <c r="P96" s="43" t="str">
        <f>IF(AND(K96="MODERATE",J96="VERY HIGH")=TRUE(),"X"," ")</f>
        <v xml:space="preserve"> </v>
      </c>
      <c r="Q96" s="43" t="str">
        <f>IF(AND(K96="HIGH",J96="VERY HIGH")=TRUE(),"X"," ")</f>
        <v xml:space="preserve"> </v>
      </c>
      <c r="R96" s="43" t="str">
        <f>IF(AND(K96="VERY HIGH",J96="VERY HIGH")=TRUE(),"X"," ")</f>
        <v xml:space="preserve"> </v>
      </c>
      <c r="S96" s="44">
        <f>IF(J96=J82,T82,0)</f>
        <v>0</v>
      </c>
      <c r="T96" s="112">
        <v>0.2</v>
      </c>
      <c r="U96" s="97">
        <v>10</v>
      </c>
      <c r="V96" s="110">
        <f>T96*U96</f>
        <v>2</v>
      </c>
      <c r="W96" s="168" t="s">
        <v>115</v>
      </c>
      <c r="X96" s="169" t="s">
        <v>154</v>
      </c>
      <c r="Y96" s="170" t="s">
        <v>155</v>
      </c>
      <c r="Z96" s="171" t="s">
        <v>156</v>
      </c>
      <c r="AA96" s="172" t="s">
        <v>99</v>
      </c>
      <c r="AB96" s="173" t="s">
        <v>179</v>
      </c>
      <c r="AC96" s="3"/>
      <c r="AD96" s="3"/>
      <c r="AE96" s="3"/>
      <c r="AF96" s="12" t="s">
        <v>82</v>
      </c>
      <c r="AG96" s="3"/>
      <c r="AH96" s="3"/>
      <c r="AI96" s="3"/>
      <c r="AJ96" s="3"/>
      <c r="AK96" s="3"/>
      <c r="AL96" s="3"/>
    </row>
    <row r="97" spans="1:38" ht="18" customHeight="1" x14ac:dyDescent="0.25">
      <c r="A97" s="3"/>
      <c r="B97" s="87"/>
      <c r="C97" s="120"/>
      <c r="D97" s="75"/>
      <c r="E97" s="143"/>
      <c r="F97" s="75"/>
      <c r="G97" s="75"/>
      <c r="H97" s="141"/>
      <c r="I97" s="84"/>
      <c r="J97" s="75"/>
      <c r="K97" s="93"/>
      <c r="L97" s="93"/>
      <c r="M97" s="40" t="s">
        <v>83</v>
      </c>
      <c r="N97" s="41" t="str">
        <f>IF(AND(K96="VERY LOW",J96="HIGH")=TRUE(),"X"," ")</f>
        <v xml:space="preserve"> </v>
      </c>
      <c r="O97" s="42" t="str">
        <f>IF(AND(K96="LOW",J96="HIGH")=TRUE(),"X"," ")</f>
        <v xml:space="preserve"> </v>
      </c>
      <c r="P97" s="43" t="str">
        <f>IF(AND(K96="MODERATE",J96="HIGH")=TRUE(),"X"," ")</f>
        <v xml:space="preserve"> </v>
      </c>
      <c r="Q97" s="43" t="str">
        <f>IF(AND(K96="HIGH",J96="HIGH")=TRUE(),"X"," ")</f>
        <v xml:space="preserve"> </v>
      </c>
      <c r="R97" s="43" t="str">
        <f>IF(AND(K96="VERY HIGH",J96="HIGH")=TRUE(),"X"," ")</f>
        <v xml:space="preserve"> </v>
      </c>
      <c r="S97" s="45">
        <f>IF(J96=J83,T83,0)</f>
        <v>0</v>
      </c>
      <c r="T97" s="84"/>
      <c r="U97" s="93"/>
      <c r="V97" s="81"/>
      <c r="W97" s="84"/>
      <c r="X97" s="75"/>
      <c r="Y97" s="81"/>
      <c r="Z97" s="107"/>
      <c r="AA97" s="75"/>
      <c r="AB97" s="73"/>
      <c r="AC97" s="3"/>
      <c r="AD97" s="3"/>
      <c r="AE97" s="3"/>
      <c r="AF97" s="12"/>
      <c r="AG97" s="3"/>
      <c r="AH97" s="3"/>
      <c r="AI97" s="3"/>
      <c r="AJ97" s="3"/>
      <c r="AK97" s="3"/>
      <c r="AL97" s="3"/>
    </row>
    <row r="98" spans="1:38" ht="18" customHeight="1" x14ac:dyDescent="0.25">
      <c r="A98" s="3"/>
      <c r="B98" s="87"/>
      <c r="C98" s="120"/>
      <c r="D98" s="75"/>
      <c r="E98" s="143"/>
      <c r="F98" s="75"/>
      <c r="G98" s="75"/>
      <c r="H98" s="141"/>
      <c r="I98" s="84"/>
      <c r="J98" s="75"/>
      <c r="K98" s="93"/>
      <c r="L98" s="93"/>
      <c r="M98" s="40" t="s">
        <v>84</v>
      </c>
      <c r="N98" s="41" t="str">
        <f>IF(AND(K96="VERY LOW",J96="MODERATE")=TRUE(),"X"," ")</f>
        <v xml:space="preserve"> </v>
      </c>
      <c r="O98" s="46" t="str">
        <f>IF(AND(K96="LOW",J96="MODERATE")=TRUE(),"X"," ")</f>
        <v xml:space="preserve"> </v>
      </c>
      <c r="P98" s="42" t="str">
        <f>IF(AND(K96="MODERATE",J96="MODERATE")=TRUE(),"X"," ")</f>
        <v xml:space="preserve"> </v>
      </c>
      <c r="Q98" s="43" t="str">
        <f>IF(AND(K96="HIGH",J96="MODERATE")=TRUE(),"X"," ")</f>
        <v xml:space="preserve"> </v>
      </c>
      <c r="R98" s="43" t="str">
        <f>IF(AND(K96="VERY HIGH",J96="MODERATE")=TRUE(),"X"," ")</f>
        <v xml:space="preserve"> </v>
      </c>
      <c r="S98" s="45">
        <f>IF(J96=J84,T84,0)</f>
        <v>0</v>
      </c>
      <c r="T98" s="84"/>
      <c r="U98" s="93"/>
      <c r="V98" s="81"/>
      <c r="W98" s="84"/>
      <c r="X98" s="75"/>
      <c r="Y98" s="81"/>
      <c r="Z98" s="107"/>
      <c r="AA98" s="75"/>
      <c r="AB98" s="73"/>
      <c r="AC98" s="3"/>
      <c r="AD98" s="3"/>
      <c r="AE98" s="3"/>
      <c r="AF98" s="12"/>
      <c r="AG98" s="3"/>
      <c r="AH98" s="3"/>
      <c r="AI98" s="3"/>
      <c r="AJ98" s="3"/>
      <c r="AK98" s="3"/>
      <c r="AL98" s="3"/>
    </row>
    <row r="99" spans="1:38" ht="18" customHeight="1" x14ac:dyDescent="0.25">
      <c r="A99" s="3"/>
      <c r="B99" s="87"/>
      <c r="C99" s="120"/>
      <c r="D99" s="75"/>
      <c r="E99" s="143"/>
      <c r="F99" s="75"/>
      <c r="G99" s="75"/>
      <c r="H99" s="141"/>
      <c r="I99" s="84"/>
      <c r="J99" s="75"/>
      <c r="K99" s="93"/>
      <c r="L99" s="93"/>
      <c r="M99" s="40" t="s">
        <v>85</v>
      </c>
      <c r="N99" s="41" t="str">
        <f>IF(AND(K96="VERY LOW",J96="LOW")=TRUE(),"X"," ")</f>
        <v xml:space="preserve"> </v>
      </c>
      <c r="O99" s="46" t="str">
        <f>IF(AND(K96="LOW",J96="LOW")=TRUE(),"X"," ")</f>
        <v xml:space="preserve"> </v>
      </c>
      <c r="P99" s="42" t="str">
        <f>IF(AND(K96="MODERATE",J96="LOW")=TRUE(),"X"," ")</f>
        <v xml:space="preserve"> </v>
      </c>
      <c r="Q99" s="43" t="str">
        <f>IF(AND(K96="HIGH",J96="LOW")=TRUE(),"X"," ")</f>
        <v xml:space="preserve"> </v>
      </c>
      <c r="R99" s="43" t="str">
        <f>IF(AND(K96="VERY HIGH",J96="LOW")=TRUE(),"X"," ")</f>
        <v>X</v>
      </c>
      <c r="S99" s="45">
        <f>IF(J96=J85,T85,0)</f>
        <v>0</v>
      </c>
      <c r="T99" s="84"/>
      <c r="U99" s="93"/>
      <c r="V99" s="81"/>
      <c r="W99" s="84"/>
      <c r="X99" s="75"/>
      <c r="Y99" s="81"/>
      <c r="Z99" s="107"/>
      <c r="AA99" s="75"/>
      <c r="AB99" s="73"/>
      <c r="AC99" s="3"/>
      <c r="AD99" s="3"/>
      <c r="AE99" s="3"/>
      <c r="AF99" s="12" t="s">
        <v>86</v>
      </c>
      <c r="AG99" s="3"/>
      <c r="AH99" s="3"/>
      <c r="AI99" s="3"/>
      <c r="AJ99" s="3"/>
      <c r="AK99" s="3"/>
      <c r="AL99" s="3"/>
    </row>
    <row r="100" spans="1:38" ht="18" customHeight="1" x14ac:dyDescent="0.25">
      <c r="B100" s="87"/>
      <c r="C100" s="120"/>
      <c r="D100" s="75"/>
      <c r="E100" s="143"/>
      <c r="F100" s="75"/>
      <c r="G100" s="75"/>
      <c r="H100" s="141"/>
      <c r="I100" s="84"/>
      <c r="J100" s="75"/>
      <c r="K100" s="93"/>
      <c r="L100" s="93"/>
      <c r="M100" s="40" t="s">
        <v>87</v>
      </c>
      <c r="N100" s="47" t="str">
        <f>IF(AND(K96="VERY LOW",J96="VERY LOW")=TRUE(),"X"," ")</f>
        <v xml:space="preserve"> </v>
      </c>
      <c r="O100" s="48" t="str">
        <f>IF(AND(K96="LOW",J96="VERY LOW")=TRUE(),"X"," ")</f>
        <v xml:space="preserve"> </v>
      </c>
      <c r="P100" s="48" t="str">
        <f>IF(AND(K96="MODERATE",J96="VERY LOW")=TRUE(),"X"," ")</f>
        <v xml:space="preserve"> </v>
      </c>
      <c r="Q100" s="49" t="str">
        <f>IF(AND(K96="HIGH",J96="VERY LOW")=TRUE(),"X"," ")</f>
        <v xml:space="preserve"> </v>
      </c>
      <c r="R100" s="50" t="str">
        <f>IF(AND(K96="VERY HIGH",J96="VERY LOW")=TRUE(),"X"," ")</f>
        <v xml:space="preserve"> </v>
      </c>
      <c r="S100" s="3">
        <f>IF(J96=J86,T86,0)</f>
        <v>0</v>
      </c>
      <c r="T100" s="84"/>
      <c r="U100" s="93"/>
      <c r="V100" s="81"/>
      <c r="W100" s="84"/>
      <c r="X100" s="75"/>
      <c r="Y100" s="81"/>
      <c r="Z100" s="107"/>
      <c r="AA100" s="75"/>
      <c r="AB100" s="73"/>
      <c r="AC100"/>
      <c r="AF100" s="12" t="s">
        <v>88</v>
      </c>
    </row>
    <row r="101" spans="1:38" ht="14.25" customHeight="1" x14ac:dyDescent="0.25">
      <c r="B101" s="87"/>
      <c r="C101" s="120"/>
      <c r="D101" s="75"/>
      <c r="E101" s="143"/>
      <c r="F101" s="75"/>
      <c r="G101" s="75"/>
      <c r="H101" s="141"/>
      <c r="I101" s="84"/>
      <c r="J101" s="75"/>
      <c r="K101" s="93"/>
      <c r="L101" s="39"/>
      <c r="M101" s="40"/>
      <c r="N101" s="40" t="s">
        <v>87</v>
      </c>
      <c r="O101" s="40" t="s">
        <v>85</v>
      </c>
      <c r="P101" s="40" t="s">
        <v>84</v>
      </c>
      <c r="Q101" s="40" t="s">
        <v>83</v>
      </c>
      <c r="R101" s="40" t="s">
        <v>81</v>
      </c>
      <c r="S101" s="45"/>
      <c r="T101" s="84"/>
      <c r="U101" s="93"/>
      <c r="V101" s="81"/>
      <c r="W101" s="84"/>
      <c r="X101" s="75"/>
      <c r="Y101" s="81"/>
      <c r="Z101" s="107"/>
      <c r="AA101" s="75"/>
      <c r="AB101" s="73"/>
      <c r="AC101"/>
      <c r="AF101" s="12" t="s">
        <v>89</v>
      </c>
    </row>
    <row r="102" spans="1:38" ht="10.8" customHeight="1" x14ac:dyDescent="0.25">
      <c r="B102" s="104"/>
      <c r="C102" s="114"/>
      <c r="D102" s="75"/>
      <c r="E102" s="144"/>
      <c r="F102" s="80"/>
      <c r="G102" s="80"/>
      <c r="H102" s="142"/>
      <c r="I102" s="85"/>
      <c r="J102" s="80"/>
      <c r="K102" s="94"/>
      <c r="L102" s="51"/>
      <c r="M102" s="52"/>
      <c r="N102" s="99" t="s">
        <v>22</v>
      </c>
      <c r="O102" s="90"/>
      <c r="P102" s="90"/>
      <c r="Q102" s="90"/>
      <c r="R102" s="90"/>
      <c r="S102" s="53"/>
      <c r="T102" s="85"/>
      <c r="U102" s="94"/>
      <c r="V102" s="82"/>
      <c r="W102" s="85"/>
      <c r="X102" s="80"/>
      <c r="Y102" s="82"/>
      <c r="Z102" s="108"/>
      <c r="AA102" s="80"/>
      <c r="AB102" s="74"/>
      <c r="AC102"/>
      <c r="AF102" s="12" t="s">
        <v>90</v>
      </c>
    </row>
    <row r="103" spans="1:38" ht="6.6" customHeight="1" thickBot="1" x14ac:dyDescent="0.3">
      <c r="A103" s="27"/>
      <c r="B103" s="54"/>
      <c r="C103" s="55"/>
      <c r="D103" s="56"/>
      <c r="E103" s="56"/>
      <c r="F103" s="56"/>
      <c r="G103" s="57"/>
      <c r="H103" s="58"/>
      <c r="I103" s="59"/>
      <c r="J103" s="60"/>
      <c r="K103" s="60"/>
      <c r="L103" s="61"/>
      <c r="M103" s="62"/>
      <c r="N103" s="61"/>
      <c r="O103" s="63"/>
      <c r="P103" s="63"/>
      <c r="Q103" s="63"/>
      <c r="R103" s="63"/>
      <c r="S103" s="64"/>
      <c r="T103" s="65"/>
      <c r="U103" s="66"/>
      <c r="V103" s="66"/>
      <c r="W103" s="67"/>
      <c r="X103" s="68"/>
      <c r="Y103" s="69"/>
      <c r="Z103" s="70"/>
      <c r="AA103" s="71"/>
      <c r="AB103" s="72"/>
      <c r="AC103"/>
      <c r="AF103" s="12" t="s">
        <v>91</v>
      </c>
    </row>
    <row r="104" spans="1:38" ht="12.75" customHeight="1" thickTop="1" x14ac:dyDescent="0.25">
      <c r="I104" s="3"/>
    </row>
    <row r="105" spans="1:38" ht="12.75" customHeight="1" x14ac:dyDescent="0.25">
      <c r="I105" s="3"/>
    </row>
    <row r="106" spans="1:38" ht="12.75" customHeight="1" x14ac:dyDescent="0.25">
      <c r="I106" s="3"/>
    </row>
    <row r="107" spans="1:38" ht="12.75" customHeight="1" x14ac:dyDescent="0.25">
      <c r="I107" s="3"/>
    </row>
    <row r="108" spans="1:38" ht="12.75" customHeight="1" x14ac:dyDescent="0.25">
      <c r="I108" s="3"/>
    </row>
    <row r="109" spans="1:38" ht="12.75" customHeight="1" x14ac:dyDescent="0.25">
      <c r="I109" s="3"/>
    </row>
    <row r="110" spans="1:38" ht="12.75" customHeight="1" x14ac:dyDescent="0.25">
      <c r="I110" s="3"/>
    </row>
    <row r="111" spans="1:38" ht="12.75" customHeight="1" x14ac:dyDescent="0.25">
      <c r="I111" s="3"/>
    </row>
    <row r="112" spans="1:38" ht="12.75" customHeight="1" x14ac:dyDescent="0.25">
      <c r="I112" s="3"/>
    </row>
    <row r="113" spans="9:9" ht="12.75" customHeight="1" x14ac:dyDescent="0.25">
      <c r="I113" s="3"/>
    </row>
    <row r="114" spans="9:9" ht="12.75" customHeight="1" x14ac:dyDescent="0.25">
      <c r="I114" s="3"/>
    </row>
    <row r="115" spans="9:9" ht="12.75" customHeight="1" x14ac:dyDescent="0.25">
      <c r="I115" s="3"/>
    </row>
    <row r="116" spans="9:9" ht="12.75" customHeight="1" x14ac:dyDescent="0.25">
      <c r="I116" s="3"/>
    </row>
    <row r="117" spans="9:9" ht="12.75" customHeight="1" x14ac:dyDescent="0.25">
      <c r="I117" s="3"/>
    </row>
    <row r="118" spans="9:9" ht="12.75" customHeight="1" x14ac:dyDescent="0.25">
      <c r="I118" s="3"/>
    </row>
    <row r="119" spans="9:9" ht="12.75" customHeight="1" x14ac:dyDescent="0.25">
      <c r="I119" s="3"/>
    </row>
    <row r="120" spans="9:9" ht="12.75" customHeight="1" x14ac:dyDescent="0.25">
      <c r="I120" s="3"/>
    </row>
    <row r="121" spans="9:9" ht="12.75" customHeight="1" x14ac:dyDescent="0.25">
      <c r="I121" s="3"/>
    </row>
    <row r="122" spans="9:9" ht="12.75" customHeight="1" x14ac:dyDescent="0.25">
      <c r="I122" s="3"/>
    </row>
    <row r="123" spans="9:9" ht="12.75" customHeight="1" x14ac:dyDescent="0.25">
      <c r="I123" s="3"/>
    </row>
    <row r="124" spans="9:9" ht="12.75" customHeight="1" x14ac:dyDescent="0.25">
      <c r="I124" s="3"/>
    </row>
    <row r="125" spans="9:9" ht="12.75" customHeight="1" x14ac:dyDescent="0.25">
      <c r="I125" s="3"/>
    </row>
    <row r="126" spans="9:9" ht="12.75" customHeight="1" x14ac:dyDescent="0.25">
      <c r="I126" s="3"/>
    </row>
    <row r="127" spans="9:9" ht="12.75" customHeight="1" x14ac:dyDescent="0.25">
      <c r="I127" s="3"/>
    </row>
    <row r="128" spans="9:9" ht="12.75" customHeight="1" x14ac:dyDescent="0.25">
      <c r="I128" s="3"/>
    </row>
    <row r="129" spans="9:9" ht="12.75" customHeight="1" x14ac:dyDescent="0.25">
      <c r="I129" s="3"/>
    </row>
    <row r="130" spans="9:9" ht="12.75" customHeight="1" x14ac:dyDescent="0.25">
      <c r="I130" s="3"/>
    </row>
    <row r="131" spans="9:9" ht="12.75" customHeight="1" x14ac:dyDescent="0.25">
      <c r="I131" s="3"/>
    </row>
    <row r="132" spans="9:9" ht="12.75" customHeight="1" x14ac:dyDescent="0.25">
      <c r="I132" s="3"/>
    </row>
    <row r="133" spans="9:9" ht="12.75" customHeight="1" x14ac:dyDescent="0.25">
      <c r="I133" s="3"/>
    </row>
    <row r="134" spans="9:9" ht="12.75" customHeight="1" x14ac:dyDescent="0.25">
      <c r="I134" s="3"/>
    </row>
    <row r="135" spans="9:9" ht="12.75" customHeight="1" x14ac:dyDescent="0.25">
      <c r="I135" s="3"/>
    </row>
    <row r="136" spans="9:9" ht="12.75" customHeight="1" x14ac:dyDescent="0.25">
      <c r="I136" s="3"/>
    </row>
    <row r="137" spans="9:9" ht="12.75" customHeight="1" x14ac:dyDescent="0.25">
      <c r="I137" s="3"/>
    </row>
    <row r="138" spans="9:9" ht="12.75" customHeight="1" x14ac:dyDescent="0.25">
      <c r="I138" s="3"/>
    </row>
    <row r="139" spans="9:9" ht="12.75" customHeight="1" x14ac:dyDescent="0.25">
      <c r="I139" s="3"/>
    </row>
    <row r="140" spans="9:9" ht="12.75" customHeight="1" x14ac:dyDescent="0.25">
      <c r="I140" s="3"/>
    </row>
    <row r="141" spans="9:9" ht="12.75" customHeight="1" x14ac:dyDescent="0.25">
      <c r="I141" s="3"/>
    </row>
    <row r="142" spans="9:9" ht="12.75" customHeight="1" x14ac:dyDescent="0.25">
      <c r="I142" s="3"/>
    </row>
    <row r="143" spans="9:9" ht="12.75" customHeight="1" x14ac:dyDescent="0.25">
      <c r="I143" s="3"/>
    </row>
    <row r="144" spans="9:9" ht="12.75" customHeight="1" x14ac:dyDescent="0.25">
      <c r="I144" s="3"/>
    </row>
    <row r="145" spans="9:9" ht="12.75" customHeight="1" x14ac:dyDescent="0.25">
      <c r="I145" s="3"/>
    </row>
    <row r="146" spans="9:9" ht="12.75" customHeight="1" x14ac:dyDescent="0.25">
      <c r="I146" s="3"/>
    </row>
    <row r="147" spans="9:9" ht="12.75" customHeight="1" x14ac:dyDescent="0.25">
      <c r="I147" s="3"/>
    </row>
    <row r="148" spans="9:9" ht="12.75" customHeight="1" x14ac:dyDescent="0.25">
      <c r="I148" s="3"/>
    </row>
    <row r="149" spans="9:9" ht="12.75" customHeight="1" x14ac:dyDescent="0.25">
      <c r="I149" s="3"/>
    </row>
    <row r="150" spans="9:9" ht="12.75" customHeight="1" x14ac:dyDescent="0.25">
      <c r="I150" s="3"/>
    </row>
    <row r="151" spans="9:9" ht="12.75" customHeight="1" x14ac:dyDescent="0.25">
      <c r="I151" s="3"/>
    </row>
    <row r="152" spans="9:9" ht="12.75" customHeight="1" x14ac:dyDescent="0.25">
      <c r="I152" s="3"/>
    </row>
    <row r="153" spans="9:9" ht="12.75" customHeight="1" x14ac:dyDescent="0.25">
      <c r="I153" s="3"/>
    </row>
    <row r="154" spans="9:9" ht="12.75" customHeight="1" x14ac:dyDescent="0.25">
      <c r="I154" s="3"/>
    </row>
    <row r="155" spans="9:9" ht="12.75" customHeight="1" x14ac:dyDescent="0.25">
      <c r="I155" s="3"/>
    </row>
    <row r="156" spans="9:9" ht="12.75" customHeight="1" x14ac:dyDescent="0.25">
      <c r="I156" s="3"/>
    </row>
    <row r="157" spans="9:9" ht="12.75" customHeight="1" x14ac:dyDescent="0.25">
      <c r="I157" s="3"/>
    </row>
    <row r="158" spans="9:9" ht="12.75" customHeight="1" x14ac:dyDescent="0.25">
      <c r="I158" s="3"/>
    </row>
    <row r="159" spans="9:9" ht="12.75" customHeight="1" x14ac:dyDescent="0.25">
      <c r="I159" s="3"/>
    </row>
    <row r="160" spans="9:9" ht="12.75" customHeight="1" x14ac:dyDescent="0.25">
      <c r="I160" s="3"/>
    </row>
    <row r="161" spans="9:9" ht="12.75" customHeight="1" x14ac:dyDescent="0.25">
      <c r="I161" s="3"/>
    </row>
    <row r="162" spans="9:9" ht="12.75" customHeight="1" x14ac:dyDescent="0.25">
      <c r="I162" s="3"/>
    </row>
    <row r="163" spans="9:9" ht="12.75" customHeight="1" x14ac:dyDescent="0.25">
      <c r="I163" s="3"/>
    </row>
    <row r="164" spans="9:9" ht="12.75" customHeight="1" x14ac:dyDescent="0.25">
      <c r="I164" s="3"/>
    </row>
    <row r="165" spans="9:9" ht="12.75" customHeight="1" x14ac:dyDescent="0.25">
      <c r="I165" s="3"/>
    </row>
    <row r="166" spans="9:9" ht="12.75" customHeight="1" x14ac:dyDescent="0.25">
      <c r="I166" s="3"/>
    </row>
    <row r="167" spans="9:9" ht="12.75" customHeight="1" x14ac:dyDescent="0.25">
      <c r="I167" s="3"/>
    </row>
    <row r="168" spans="9:9" ht="12.75" customHeight="1" x14ac:dyDescent="0.25">
      <c r="I168" s="3"/>
    </row>
    <row r="169" spans="9:9" ht="12.75" customHeight="1" x14ac:dyDescent="0.25">
      <c r="I169" s="3"/>
    </row>
    <row r="170" spans="9:9" ht="12.75" customHeight="1" x14ac:dyDescent="0.25">
      <c r="I170" s="3"/>
    </row>
    <row r="171" spans="9:9" ht="12.75" customHeight="1" x14ac:dyDescent="0.25">
      <c r="I171" s="3"/>
    </row>
    <row r="172" spans="9:9" ht="12.75" customHeight="1" x14ac:dyDescent="0.25">
      <c r="I172" s="3"/>
    </row>
    <row r="173" spans="9:9" ht="12.75" customHeight="1" x14ac:dyDescent="0.25">
      <c r="I173" s="3"/>
    </row>
    <row r="174" spans="9:9" ht="12.75" customHeight="1" x14ac:dyDescent="0.25">
      <c r="I174" s="3"/>
    </row>
    <row r="175" spans="9:9" ht="12.75" customHeight="1" x14ac:dyDescent="0.25">
      <c r="I175" s="3"/>
    </row>
    <row r="176" spans="9:9" ht="12.75" customHeight="1" x14ac:dyDescent="0.25">
      <c r="I176" s="3"/>
    </row>
    <row r="177" spans="9:9" ht="12.75" customHeight="1" x14ac:dyDescent="0.25">
      <c r="I177" s="3"/>
    </row>
    <row r="178" spans="9:9" ht="12.75" customHeight="1" x14ac:dyDescent="0.25">
      <c r="I178" s="3"/>
    </row>
    <row r="179" spans="9:9" ht="12.75" customHeight="1" x14ac:dyDescent="0.25">
      <c r="I179" s="3"/>
    </row>
    <row r="180" spans="9:9" ht="12.75" customHeight="1" x14ac:dyDescent="0.25">
      <c r="I180" s="3"/>
    </row>
    <row r="181" spans="9:9" ht="12.75" customHeight="1" x14ac:dyDescent="0.25">
      <c r="I181" s="3"/>
    </row>
    <row r="182" spans="9:9" ht="12.75" customHeight="1" x14ac:dyDescent="0.25">
      <c r="I182" s="3"/>
    </row>
    <row r="183" spans="9:9" ht="12.75" customHeight="1" x14ac:dyDescent="0.25">
      <c r="I183" s="3"/>
    </row>
    <row r="184" spans="9:9" ht="12.75" customHeight="1" x14ac:dyDescent="0.25">
      <c r="I184" s="3"/>
    </row>
    <row r="185" spans="9:9" ht="12.75" customHeight="1" x14ac:dyDescent="0.25">
      <c r="I185" s="3"/>
    </row>
    <row r="186" spans="9:9" ht="12.75" customHeight="1" x14ac:dyDescent="0.25">
      <c r="I186" s="3"/>
    </row>
    <row r="187" spans="9:9" ht="12.75" customHeight="1" x14ac:dyDescent="0.25">
      <c r="I187" s="3"/>
    </row>
    <row r="188" spans="9:9" ht="12.75" customHeight="1" x14ac:dyDescent="0.25">
      <c r="I188" s="3"/>
    </row>
    <row r="189" spans="9:9" ht="12.75" customHeight="1" x14ac:dyDescent="0.25">
      <c r="I189" s="3"/>
    </row>
    <row r="190" spans="9:9" ht="12.75" customHeight="1" x14ac:dyDescent="0.25">
      <c r="I190" s="3"/>
    </row>
    <row r="191" spans="9:9" ht="12.75" customHeight="1" x14ac:dyDescent="0.25">
      <c r="I191" s="3"/>
    </row>
    <row r="192" spans="9:9" ht="12.75" customHeight="1" x14ac:dyDescent="0.25">
      <c r="I192" s="3"/>
    </row>
    <row r="193" spans="9:9" ht="12.75" customHeight="1" x14ac:dyDescent="0.25">
      <c r="I193" s="3"/>
    </row>
    <row r="194" spans="9:9" ht="12.75" customHeight="1" x14ac:dyDescent="0.25">
      <c r="I194" s="3"/>
    </row>
    <row r="195" spans="9:9" ht="12.75" customHeight="1" x14ac:dyDescent="0.25">
      <c r="I195" s="3"/>
    </row>
    <row r="196" spans="9:9" ht="12.75" customHeight="1" x14ac:dyDescent="0.25">
      <c r="I196" s="3"/>
    </row>
    <row r="197" spans="9:9" ht="12.75" customHeight="1" x14ac:dyDescent="0.25">
      <c r="I197" s="3"/>
    </row>
    <row r="198" spans="9:9" ht="12.75" customHeight="1" x14ac:dyDescent="0.25">
      <c r="I198" s="3"/>
    </row>
    <row r="199" spans="9:9" ht="12.75" customHeight="1" x14ac:dyDescent="0.25">
      <c r="I199" s="3"/>
    </row>
    <row r="200" spans="9:9" ht="12.75" customHeight="1" x14ac:dyDescent="0.25">
      <c r="I200" s="3"/>
    </row>
    <row r="201" spans="9:9" ht="12.75" customHeight="1" x14ac:dyDescent="0.25">
      <c r="I201" s="3"/>
    </row>
    <row r="202" spans="9:9" ht="12.75" customHeight="1" x14ac:dyDescent="0.25">
      <c r="I202" s="3"/>
    </row>
    <row r="203" spans="9:9" ht="12.75" customHeight="1" x14ac:dyDescent="0.25">
      <c r="I203" s="3"/>
    </row>
    <row r="204" spans="9:9" ht="12.75" customHeight="1" x14ac:dyDescent="0.25">
      <c r="I204" s="3"/>
    </row>
    <row r="205" spans="9:9" ht="12.75" customHeight="1" x14ac:dyDescent="0.25">
      <c r="I205" s="3"/>
    </row>
    <row r="206" spans="9:9" ht="12.75" customHeight="1" x14ac:dyDescent="0.25">
      <c r="I206" s="3"/>
    </row>
    <row r="207" spans="9:9" ht="12.75" customHeight="1" x14ac:dyDescent="0.25">
      <c r="I207" s="3"/>
    </row>
    <row r="208" spans="9:9" ht="12.75" customHeight="1" x14ac:dyDescent="0.25">
      <c r="I208" s="3"/>
    </row>
    <row r="209" spans="9:9" ht="12.75" customHeight="1" x14ac:dyDescent="0.25">
      <c r="I209" s="3"/>
    </row>
    <row r="210" spans="9:9" ht="12.75" customHeight="1" x14ac:dyDescent="0.25">
      <c r="I210" s="3"/>
    </row>
    <row r="211" spans="9:9" ht="12.75" customHeight="1" x14ac:dyDescent="0.25">
      <c r="I211" s="3"/>
    </row>
    <row r="212" spans="9:9" ht="12.75" customHeight="1" x14ac:dyDescent="0.25">
      <c r="I212" s="3"/>
    </row>
    <row r="213" spans="9:9" ht="12.75" customHeight="1" x14ac:dyDescent="0.25">
      <c r="I213" s="3"/>
    </row>
    <row r="214" spans="9:9" ht="12.75" customHeight="1" x14ac:dyDescent="0.25">
      <c r="I214" s="3"/>
    </row>
    <row r="215" spans="9:9" ht="12.75" customHeight="1" x14ac:dyDescent="0.25">
      <c r="I215" s="3"/>
    </row>
    <row r="216" spans="9:9" ht="12.75" customHeight="1" x14ac:dyDescent="0.25">
      <c r="I216" s="3"/>
    </row>
    <row r="217" spans="9:9" ht="12.75" customHeight="1" x14ac:dyDescent="0.25">
      <c r="I217" s="3"/>
    </row>
    <row r="218" spans="9:9" ht="12.75" customHeight="1" x14ac:dyDescent="0.25">
      <c r="I218" s="3"/>
    </row>
    <row r="219" spans="9:9" ht="12.75" customHeight="1" x14ac:dyDescent="0.25">
      <c r="I219" s="3"/>
    </row>
    <row r="220" spans="9:9" ht="12.75" customHeight="1" x14ac:dyDescent="0.25">
      <c r="I220" s="3"/>
    </row>
    <row r="221" spans="9:9" ht="12.75" customHeight="1" x14ac:dyDescent="0.25">
      <c r="I221" s="3"/>
    </row>
    <row r="222" spans="9:9" ht="12.75" customHeight="1" x14ac:dyDescent="0.25">
      <c r="I222" s="3"/>
    </row>
    <row r="223" spans="9:9" ht="12.75" customHeight="1" x14ac:dyDescent="0.25">
      <c r="I223" s="3"/>
    </row>
    <row r="224" spans="9:9" ht="12.75" customHeight="1" x14ac:dyDescent="0.25">
      <c r="I224" s="3"/>
    </row>
    <row r="225" spans="9:9" ht="12.75" customHeight="1" x14ac:dyDescent="0.25">
      <c r="I225" s="3"/>
    </row>
    <row r="226" spans="9:9" ht="12.75" customHeight="1" x14ac:dyDescent="0.25">
      <c r="I226" s="3"/>
    </row>
    <row r="227" spans="9:9" ht="12.75" customHeight="1" x14ac:dyDescent="0.25">
      <c r="I227" s="3"/>
    </row>
    <row r="228" spans="9:9" ht="12.75" customHeight="1" x14ac:dyDescent="0.25">
      <c r="I228" s="3"/>
    </row>
    <row r="229" spans="9:9" ht="12.75" customHeight="1" x14ac:dyDescent="0.25">
      <c r="I229" s="3"/>
    </row>
    <row r="230" spans="9:9" ht="12.75" customHeight="1" x14ac:dyDescent="0.25">
      <c r="I230" s="3"/>
    </row>
    <row r="231" spans="9:9" ht="12.75" customHeight="1" x14ac:dyDescent="0.25">
      <c r="I231" s="3"/>
    </row>
    <row r="232" spans="9:9" ht="12.75" customHeight="1" x14ac:dyDescent="0.25">
      <c r="I232" s="3"/>
    </row>
    <row r="233" spans="9:9" ht="12.75" customHeight="1" x14ac:dyDescent="0.25">
      <c r="I233" s="3"/>
    </row>
    <row r="234" spans="9:9" ht="12.75" customHeight="1" x14ac:dyDescent="0.25">
      <c r="I234" s="3"/>
    </row>
    <row r="235" spans="9:9" ht="12.75" customHeight="1" x14ac:dyDescent="0.25">
      <c r="I235" s="3"/>
    </row>
    <row r="236" spans="9:9" ht="12.75" customHeight="1" x14ac:dyDescent="0.25">
      <c r="I236" s="3"/>
    </row>
    <row r="237" spans="9:9" ht="12.75" customHeight="1" x14ac:dyDescent="0.25">
      <c r="I237" s="3"/>
    </row>
    <row r="238" spans="9:9" ht="12.75" customHeight="1" x14ac:dyDescent="0.25">
      <c r="I238" s="3"/>
    </row>
    <row r="239" spans="9:9" ht="12.75" customHeight="1" x14ac:dyDescent="0.25">
      <c r="I239" s="3"/>
    </row>
    <row r="240" spans="9:9" ht="12.75" customHeight="1" x14ac:dyDescent="0.25">
      <c r="I240" s="3"/>
    </row>
    <row r="241" spans="9:9" ht="12.75" customHeight="1" x14ac:dyDescent="0.25">
      <c r="I241" s="3"/>
    </row>
    <row r="242" spans="9:9" ht="12.75" customHeight="1" x14ac:dyDescent="0.25">
      <c r="I242" s="3"/>
    </row>
    <row r="243" spans="9:9" ht="12.75" customHeight="1" x14ac:dyDescent="0.25">
      <c r="I243" s="3"/>
    </row>
    <row r="244" spans="9:9" ht="12.75" customHeight="1" x14ac:dyDescent="0.25">
      <c r="I244" s="3"/>
    </row>
    <row r="245" spans="9:9" ht="12.75" customHeight="1" x14ac:dyDescent="0.25">
      <c r="I245" s="3"/>
    </row>
    <row r="246" spans="9:9" ht="12.75" customHeight="1" x14ac:dyDescent="0.25">
      <c r="I246" s="3"/>
    </row>
    <row r="247" spans="9:9" ht="12.75" customHeight="1" x14ac:dyDescent="0.25">
      <c r="I247" s="3"/>
    </row>
    <row r="248" spans="9:9" ht="12.75" customHeight="1" x14ac:dyDescent="0.25">
      <c r="I248" s="3"/>
    </row>
    <row r="249" spans="9:9" ht="12.75" customHeight="1" x14ac:dyDescent="0.25">
      <c r="I249" s="3"/>
    </row>
    <row r="250" spans="9:9" ht="12.75" customHeight="1" x14ac:dyDescent="0.25">
      <c r="I250" s="3"/>
    </row>
    <row r="251" spans="9:9" ht="12.75" customHeight="1" x14ac:dyDescent="0.25">
      <c r="I251" s="3"/>
    </row>
    <row r="252" spans="9:9" ht="12.75" customHeight="1" x14ac:dyDescent="0.25">
      <c r="I252" s="3"/>
    </row>
    <row r="253" spans="9:9" ht="12.75" customHeight="1" x14ac:dyDescent="0.25">
      <c r="I253" s="3"/>
    </row>
    <row r="254" spans="9:9" ht="12.75" customHeight="1" x14ac:dyDescent="0.25">
      <c r="I254" s="3"/>
    </row>
    <row r="255" spans="9:9" ht="12.75" customHeight="1" x14ac:dyDescent="0.25">
      <c r="I255" s="3"/>
    </row>
    <row r="256" spans="9:9" ht="12.75" customHeight="1" x14ac:dyDescent="0.25">
      <c r="I256" s="3"/>
    </row>
    <row r="257" spans="9:9" ht="12.75" customHeight="1" x14ac:dyDescent="0.25">
      <c r="I257" s="3"/>
    </row>
    <row r="258" spans="9:9" ht="12.75" customHeight="1" x14ac:dyDescent="0.25">
      <c r="I258" s="3"/>
    </row>
    <row r="259" spans="9:9" ht="12.75" customHeight="1" x14ac:dyDescent="0.25">
      <c r="I259" s="3"/>
    </row>
    <row r="260" spans="9:9" ht="12.75" customHeight="1" x14ac:dyDescent="0.25">
      <c r="I260" s="3"/>
    </row>
    <row r="261" spans="9:9" ht="12.75" customHeight="1" x14ac:dyDescent="0.25">
      <c r="I261" s="3"/>
    </row>
    <row r="262" spans="9:9" ht="12.75" customHeight="1" x14ac:dyDescent="0.25">
      <c r="I262" s="3"/>
    </row>
    <row r="263" spans="9:9" ht="12.75" customHeight="1" x14ac:dyDescent="0.25">
      <c r="I263" s="3"/>
    </row>
    <row r="264" spans="9:9" ht="12.75" customHeight="1" x14ac:dyDescent="0.25">
      <c r="I264" s="3"/>
    </row>
    <row r="265" spans="9:9" ht="12.75" customHeight="1" x14ac:dyDescent="0.25">
      <c r="I265" s="3"/>
    </row>
    <row r="266" spans="9:9" ht="12.75" customHeight="1" x14ac:dyDescent="0.25">
      <c r="I266" s="3"/>
    </row>
    <row r="267" spans="9:9" ht="12.75" customHeight="1" x14ac:dyDescent="0.25">
      <c r="I267" s="3"/>
    </row>
    <row r="268" spans="9:9" ht="12.75" customHeight="1" x14ac:dyDescent="0.25">
      <c r="I268" s="3"/>
    </row>
    <row r="269" spans="9:9" ht="12.75" customHeight="1" x14ac:dyDescent="0.25">
      <c r="I269" s="3"/>
    </row>
    <row r="270" spans="9:9" ht="12.75" customHeight="1" x14ac:dyDescent="0.25">
      <c r="I270" s="3"/>
    </row>
    <row r="271" spans="9:9" ht="12.75" customHeight="1" x14ac:dyDescent="0.25">
      <c r="I271" s="3"/>
    </row>
    <row r="272" spans="9:9" ht="12.75" customHeight="1" x14ac:dyDescent="0.25">
      <c r="I272" s="3"/>
    </row>
    <row r="273" spans="9:9" ht="12.75" customHeight="1" x14ac:dyDescent="0.25">
      <c r="I273" s="3"/>
    </row>
    <row r="274" spans="9:9" ht="12.75" customHeight="1" x14ac:dyDescent="0.25">
      <c r="I274" s="3"/>
    </row>
    <row r="275" spans="9:9" ht="12.75" customHeight="1" x14ac:dyDescent="0.25">
      <c r="I275" s="3"/>
    </row>
    <row r="276" spans="9:9" ht="12.75" customHeight="1" x14ac:dyDescent="0.25">
      <c r="I276" s="3"/>
    </row>
    <row r="277" spans="9:9" ht="12.75" customHeight="1" x14ac:dyDescent="0.25">
      <c r="I277" s="3"/>
    </row>
    <row r="278" spans="9:9" ht="12.75" customHeight="1" x14ac:dyDescent="0.25">
      <c r="I278" s="3"/>
    </row>
    <row r="279" spans="9:9" ht="12.75" customHeight="1" x14ac:dyDescent="0.25">
      <c r="I279" s="3"/>
    </row>
    <row r="280" spans="9:9" ht="12.75" customHeight="1" x14ac:dyDescent="0.25">
      <c r="I280" s="3"/>
    </row>
    <row r="281" spans="9:9" ht="12.75" customHeight="1" x14ac:dyDescent="0.25">
      <c r="I281" s="3"/>
    </row>
    <row r="282" spans="9:9" ht="12.75" customHeight="1" x14ac:dyDescent="0.25">
      <c r="I282" s="3"/>
    </row>
    <row r="283" spans="9:9" ht="12.75" customHeight="1" x14ac:dyDescent="0.25">
      <c r="I283" s="3"/>
    </row>
    <row r="284" spans="9:9" ht="12.75" customHeight="1" x14ac:dyDescent="0.25">
      <c r="I284" s="3"/>
    </row>
    <row r="285" spans="9:9" ht="12.75" customHeight="1" x14ac:dyDescent="0.25">
      <c r="I285" s="3"/>
    </row>
    <row r="286" spans="9:9" ht="12.75" customHeight="1" x14ac:dyDescent="0.25">
      <c r="I286" s="3"/>
    </row>
    <row r="287" spans="9:9" ht="12.75" customHeight="1" x14ac:dyDescent="0.25">
      <c r="I287" s="3"/>
    </row>
    <row r="288" spans="9:9" ht="12.75" customHeight="1" x14ac:dyDescent="0.25">
      <c r="I288" s="3"/>
    </row>
    <row r="289" spans="9:9" ht="12.75" customHeight="1" x14ac:dyDescent="0.25">
      <c r="I289" s="3"/>
    </row>
    <row r="290" spans="9:9" ht="12.75" customHeight="1" x14ac:dyDescent="0.25">
      <c r="I290" s="3"/>
    </row>
    <row r="291" spans="9:9" ht="12.75" customHeight="1" x14ac:dyDescent="0.25">
      <c r="I291" s="3"/>
    </row>
    <row r="292" spans="9:9" ht="12.75" customHeight="1" x14ac:dyDescent="0.25">
      <c r="I292" s="3"/>
    </row>
    <row r="293" spans="9:9" ht="12.75" customHeight="1" x14ac:dyDescent="0.25">
      <c r="I293" s="3"/>
    </row>
    <row r="294" spans="9:9" ht="12.75" customHeight="1" x14ac:dyDescent="0.25">
      <c r="I294" s="3"/>
    </row>
    <row r="295" spans="9:9" ht="12.75" customHeight="1" x14ac:dyDescent="0.25">
      <c r="I295" s="3"/>
    </row>
    <row r="296" spans="9:9" ht="12.75" customHeight="1" x14ac:dyDescent="0.25">
      <c r="I296" s="3"/>
    </row>
    <row r="297" spans="9:9" ht="12.75" customHeight="1" x14ac:dyDescent="0.25">
      <c r="I297" s="3"/>
    </row>
    <row r="298" spans="9:9" ht="12.75" customHeight="1" x14ac:dyDescent="0.25">
      <c r="I298" s="3"/>
    </row>
    <row r="299" spans="9:9" ht="12.75" customHeight="1" x14ac:dyDescent="0.25">
      <c r="I299" s="3"/>
    </row>
    <row r="300" spans="9:9" ht="12.75" customHeight="1" x14ac:dyDescent="0.25">
      <c r="I300" s="3"/>
    </row>
    <row r="301" spans="9:9" ht="12.75" customHeight="1" x14ac:dyDescent="0.25">
      <c r="I301" s="3"/>
    </row>
    <row r="302" spans="9:9" ht="12.75" customHeight="1" x14ac:dyDescent="0.25">
      <c r="I302" s="3"/>
    </row>
    <row r="303" spans="9:9" ht="12.75" customHeight="1" x14ac:dyDescent="0.25">
      <c r="I303" s="3"/>
    </row>
    <row r="304" spans="9:9" ht="12.75" customHeight="1" x14ac:dyDescent="0.25">
      <c r="I304" s="3"/>
    </row>
    <row r="305" spans="9:9" ht="12.75" customHeight="1" x14ac:dyDescent="0.25">
      <c r="I305" s="3"/>
    </row>
    <row r="306" spans="9:9" ht="12.75" customHeight="1" x14ac:dyDescent="0.25">
      <c r="I306" s="3"/>
    </row>
    <row r="307" spans="9:9" ht="12.75" customHeight="1" x14ac:dyDescent="0.25">
      <c r="I307" s="3"/>
    </row>
    <row r="308" spans="9:9" ht="12.75" customHeight="1" x14ac:dyDescent="0.25">
      <c r="I308" s="3"/>
    </row>
    <row r="309" spans="9:9" ht="12.75" customHeight="1" x14ac:dyDescent="0.25">
      <c r="I309" s="3"/>
    </row>
    <row r="310" spans="9:9" ht="12.75" customHeight="1" x14ac:dyDescent="0.25">
      <c r="I310" s="3"/>
    </row>
    <row r="311" spans="9:9" ht="12.75" customHeight="1" x14ac:dyDescent="0.25">
      <c r="I311" s="3"/>
    </row>
    <row r="312" spans="9:9" ht="12.75" customHeight="1" x14ac:dyDescent="0.25">
      <c r="I312" s="3"/>
    </row>
    <row r="313" spans="9:9" ht="12.75" customHeight="1" x14ac:dyDescent="0.25">
      <c r="I313" s="3"/>
    </row>
    <row r="314" spans="9:9" ht="12.75" customHeight="1" x14ac:dyDescent="0.25">
      <c r="I314" s="3"/>
    </row>
    <row r="315" spans="9:9" ht="12.75" customHeight="1" x14ac:dyDescent="0.25">
      <c r="I315" s="3"/>
    </row>
    <row r="316" spans="9:9" ht="12.75" customHeight="1" x14ac:dyDescent="0.25">
      <c r="I316" s="3"/>
    </row>
    <row r="317" spans="9:9" ht="12.75" customHeight="1" x14ac:dyDescent="0.25">
      <c r="I317" s="3"/>
    </row>
    <row r="318" spans="9:9" ht="12.75" customHeight="1" x14ac:dyDescent="0.25">
      <c r="I318" s="3"/>
    </row>
    <row r="319" spans="9:9" ht="12.75" customHeight="1" x14ac:dyDescent="0.25">
      <c r="I319" s="3"/>
    </row>
    <row r="320" spans="9:9" ht="12.75" customHeight="1" x14ac:dyDescent="0.25">
      <c r="I320" s="3"/>
    </row>
    <row r="321" spans="9:9" ht="12.75" customHeight="1" x14ac:dyDescent="0.25">
      <c r="I321" s="3"/>
    </row>
    <row r="322" spans="9:9" ht="12.75" customHeight="1" x14ac:dyDescent="0.25">
      <c r="I322" s="3"/>
    </row>
    <row r="323" spans="9:9" ht="12.75" customHeight="1" x14ac:dyDescent="0.25">
      <c r="I323" s="3"/>
    </row>
    <row r="324" spans="9:9" ht="12.75" customHeight="1" x14ac:dyDescent="0.25">
      <c r="I324" s="3"/>
    </row>
    <row r="325" spans="9:9" ht="12.75" customHeight="1" x14ac:dyDescent="0.25">
      <c r="I325" s="3"/>
    </row>
    <row r="326" spans="9:9" ht="12.75" customHeight="1" x14ac:dyDescent="0.25">
      <c r="I326" s="3"/>
    </row>
    <row r="327" spans="9:9" ht="12.75" customHeight="1" x14ac:dyDescent="0.25">
      <c r="I327" s="3"/>
    </row>
    <row r="328" spans="9:9" ht="12.75" customHeight="1" x14ac:dyDescent="0.25">
      <c r="I328" s="3"/>
    </row>
    <row r="329" spans="9:9" ht="12.75" customHeight="1" x14ac:dyDescent="0.25">
      <c r="I329" s="3"/>
    </row>
    <row r="330" spans="9:9" ht="12.75" customHeight="1" x14ac:dyDescent="0.25">
      <c r="I330" s="3"/>
    </row>
    <row r="331" spans="9:9" ht="12.75" customHeight="1" x14ac:dyDescent="0.25">
      <c r="I331" s="3"/>
    </row>
    <row r="332" spans="9:9" ht="12.75" customHeight="1" x14ac:dyDescent="0.25">
      <c r="I332" s="3"/>
    </row>
    <row r="333" spans="9:9" ht="12.75" customHeight="1" x14ac:dyDescent="0.25">
      <c r="I333" s="3"/>
    </row>
    <row r="334" spans="9:9" ht="12.75" customHeight="1" x14ac:dyDescent="0.25">
      <c r="I334" s="3"/>
    </row>
    <row r="335" spans="9:9" ht="12.75" customHeight="1" x14ac:dyDescent="0.25">
      <c r="I335" s="3"/>
    </row>
    <row r="336" spans="9:9" ht="12.75" customHeight="1" x14ac:dyDescent="0.25">
      <c r="I336" s="3"/>
    </row>
    <row r="337" spans="9:9" ht="12.75" customHeight="1" x14ac:dyDescent="0.25">
      <c r="I337" s="3"/>
    </row>
    <row r="338" spans="9:9" ht="12.75" customHeight="1" x14ac:dyDescent="0.25">
      <c r="I338" s="3"/>
    </row>
    <row r="339" spans="9:9" ht="12.75" customHeight="1" x14ac:dyDescent="0.25">
      <c r="I339" s="3"/>
    </row>
    <row r="340" spans="9:9" ht="12.75" customHeight="1" x14ac:dyDescent="0.25">
      <c r="I340" s="3"/>
    </row>
    <row r="341" spans="9:9" ht="12.75" customHeight="1" x14ac:dyDescent="0.25">
      <c r="I341" s="3"/>
    </row>
    <row r="342" spans="9:9" ht="12.75" customHeight="1" x14ac:dyDescent="0.25">
      <c r="I342" s="3"/>
    </row>
    <row r="343" spans="9:9" ht="12.75" customHeight="1" x14ac:dyDescent="0.25">
      <c r="I343" s="3"/>
    </row>
    <row r="344" spans="9:9" ht="12.75" customHeight="1" x14ac:dyDescent="0.25">
      <c r="I344" s="3"/>
    </row>
    <row r="345" spans="9:9" ht="12.75" customHeight="1" x14ac:dyDescent="0.25">
      <c r="I345" s="3"/>
    </row>
    <row r="346" spans="9:9" ht="12.75" customHeight="1" x14ac:dyDescent="0.25">
      <c r="I346" s="3"/>
    </row>
    <row r="347" spans="9:9" ht="12.75" customHeight="1" x14ac:dyDescent="0.25">
      <c r="I347" s="3"/>
    </row>
    <row r="348" spans="9:9" ht="12.75" customHeight="1" x14ac:dyDescent="0.25">
      <c r="I348" s="3"/>
    </row>
    <row r="349" spans="9:9" ht="12.75" customHeight="1" x14ac:dyDescent="0.25">
      <c r="I349" s="3"/>
    </row>
    <row r="350" spans="9:9" ht="12.75" customHeight="1" x14ac:dyDescent="0.25">
      <c r="I350" s="3"/>
    </row>
    <row r="351" spans="9:9" ht="12.75" customHeight="1" x14ac:dyDescent="0.25">
      <c r="I351" s="3"/>
    </row>
    <row r="352" spans="9:9" ht="12.75" customHeight="1" x14ac:dyDescent="0.25">
      <c r="I352" s="3"/>
    </row>
    <row r="353" spans="9:9" ht="12.75" customHeight="1" x14ac:dyDescent="0.25">
      <c r="I353" s="3"/>
    </row>
    <row r="354" spans="9:9" ht="12.75" customHeight="1" x14ac:dyDescent="0.25">
      <c r="I354" s="3"/>
    </row>
    <row r="355" spans="9:9" ht="12.75" customHeight="1" x14ac:dyDescent="0.25">
      <c r="I355" s="3"/>
    </row>
    <row r="356" spans="9:9" ht="12.75" customHeight="1" x14ac:dyDescent="0.25">
      <c r="I356" s="3"/>
    </row>
    <row r="357" spans="9:9" ht="12.75" customHeight="1" x14ac:dyDescent="0.25">
      <c r="I357" s="3"/>
    </row>
    <row r="358" spans="9:9" ht="12.75" customHeight="1" x14ac:dyDescent="0.25">
      <c r="I358" s="3"/>
    </row>
    <row r="359" spans="9:9" ht="12.75" customHeight="1" x14ac:dyDescent="0.25">
      <c r="I359" s="3"/>
    </row>
    <row r="360" spans="9:9" ht="12.75" customHeight="1" x14ac:dyDescent="0.25">
      <c r="I360" s="3"/>
    </row>
    <row r="361" spans="9:9" ht="12.75" customHeight="1" x14ac:dyDescent="0.25">
      <c r="I361" s="3"/>
    </row>
    <row r="362" spans="9:9" ht="12.75" customHeight="1" x14ac:dyDescent="0.25">
      <c r="I362" s="3"/>
    </row>
    <row r="363" spans="9:9" ht="12.75" customHeight="1" x14ac:dyDescent="0.25">
      <c r="I363" s="3"/>
    </row>
    <row r="364" spans="9:9" ht="12.75" customHeight="1" x14ac:dyDescent="0.25">
      <c r="I364" s="3"/>
    </row>
    <row r="365" spans="9:9" ht="12.75" customHeight="1" x14ac:dyDescent="0.25">
      <c r="I365" s="3"/>
    </row>
    <row r="366" spans="9:9" ht="12.75" customHeight="1" x14ac:dyDescent="0.25">
      <c r="I366" s="3"/>
    </row>
    <row r="367" spans="9:9" ht="12.75" customHeight="1" x14ac:dyDescent="0.25">
      <c r="I367" s="3"/>
    </row>
    <row r="368" spans="9:9" ht="12.75" customHeight="1" x14ac:dyDescent="0.25">
      <c r="I368" s="3"/>
    </row>
    <row r="369" spans="9:9" ht="12.75" customHeight="1" x14ac:dyDescent="0.25">
      <c r="I369" s="3"/>
    </row>
    <row r="370" spans="9:9" ht="12.75" customHeight="1" x14ac:dyDescent="0.25">
      <c r="I370" s="3"/>
    </row>
    <row r="371" spans="9:9" ht="12.75" customHeight="1" x14ac:dyDescent="0.25">
      <c r="I371" s="3"/>
    </row>
    <row r="372" spans="9:9" ht="12.75" customHeight="1" x14ac:dyDescent="0.25">
      <c r="I372" s="3"/>
    </row>
    <row r="373" spans="9:9" ht="12.75" customHeight="1" x14ac:dyDescent="0.25">
      <c r="I373" s="3"/>
    </row>
    <row r="374" spans="9:9" ht="12.75" customHeight="1" x14ac:dyDescent="0.25">
      <c r="I374" s="3"/>
    </row>
    <row r="375" spans="9:9" ht="12.75" customHeight="1" x14ac:dyDescent="0.25">
      <c r="I375" s="3"/>
    </row>
    <row r="376" spans="9:9" ht="12.75" customHeight="1" x14ac:dyDescent="0.25">
      <c r="I376" s="3"/>
    </row>
    <row r="377" spans="9:9" ht="12.75" customHeight="1" x14ac:dyDescent="0.25">
      <c r="I377" s="3"/>
    </row>
    <row r="378" spans="9:9" ht="12.75" customHeight="1" x14ac:dyDescent="0.25">
      <c r="I378" s="3"/>
    </row>
    <row r="379" spans="9:9" ht="12.75" customHeight="1" x14ac:dyDescent="0.25">
      <c r="I379" s="3"/>
    </row>
    <row r="380" spans="9:9" ht="12.75" customHeight="1" x14ac:dyDescent="0.25">
      <c r="I380" s="3"/>
    </row>
    <row r="381" spans="9:9" ht="12.75" customHeight="1" x14ac:dyDescent="0.25">
      <c r="I381" s="3"/>
    </row>
    <row r="382" spans="9:9" ht="12.75" customHeight="1" x14ac:dyDescent="0.25">
      <c r="I382" s="3"/>
    </row>
    <row r="383" spans="9:9" ht="12.75" customHeight="1" x14ac:dyDescent="0.25">
      <c r="I383" s="3"/>
    </row>
    <row r="384" spans="9:9" ht="12.75" customHeight="1" x14ac:dyDescent="0.25">
      <c r="I384" s="3"/>
    </row>
    <row r="385" spans="9:9" ht="12.75" customHeight="1" x14ac:dyDescent="0.25">
      <c r="I385" s="3"/>
    </row>
    <row r="386" spans="9:9" ht="12.75" customHeight="1" x14ac:dyDescent="0.25">
      <c r="I386" s="3"/>
    </row>
    <row r="387" spans="9:9" ht="12.75" customHeight="1" x14ac:dyDescent="0.25">
      <c r="I387" s="3"/>
    </row>
    <row r="388" spans="9:9" ht="12.75" customHeight="1" x14ac:dyDescent="0.25">
      <c r="I388" s="3"/>
    </row>
    <row r="389" spans="9:9" ht="12.75" customHeight="1" x14ac:dyDescent="0.25">
      <c r="I389" s="3"/>
    </row>
    <row r="390" spans="9:9" ht="12.75" customHeight="1" x14ac:dyDescent="0.25">
      <c r="I390" s="3"/>
    </row>
    <row r="391" spans="9:9" ht="12.75" customHeight="1" x14ac:dyDescent="0.25">
      <c r="I391" s="3"/>
    </row>
    <row r="392" spans="9:9" ht="12.75" customHeight="1" x14ac:dyDescent="0.25">
      <c r="I392" s="3"/>
    </row>
    <row r="393" spans="9:9" ht="12.75" customHeight="1" x14ac:dyDescent="0.25">
      <c r="I393" s="3"/>
    </row>
    <row r="394" spans="9:9" ht="12.75" customHeight="1" x14ac:dyDescent="0.25">
      <c r="I394" s="3"/>
    </row>
    <row r="395" spans="9:9" ht="12.75" customHeight="1" x14ac:dyDescent="0.25">
      <c r="I395" s="3"/>
    </row>
    <row r="396" spans="9:9" ht="12.75" customHeight="1" x14ac:dyDescent="0.25">
      <c r="I396" s="3"/>
    </row>
    <row r="397" spans="9:9" ht="12.75" customHeight="1" x14ac:dyDescent="0.25">
      <c r="I397" s="3"/>
    </row>
    <row r="398" spans="9:9" ht="12.75" customHeight="1" x14ac:dyDescent="0.25">
      <c r="I398" s="3"/>
    </row>
    <row r="399" spans="9:9" ht="12.75" customHeight="1" x14ac:dyDescent="0.25">
      <c r="I399" s="3"/>
    </row>
    <row r="400" spans="9:9" ht="12.75" customHeight="1" x14ac:dyDescent="0.25">
      <c r="I400" s="3"/>
    </row>
    <row r="401" spans="9:9" ht="12.75" customHeight="1" x14ac:dyDescent="0.25">
      <c r="I401" s="3"/>
    </row>
    <row r="402" spans="9:9" ht="12.75" customHeight="1" x14ac:dyDescent="0.25">
      <c r="I402" s="3"/>
    </row>
    <row r="403" spans="9:9" ht="12.75" customHeight="1" x14ac:dyDescent="0.25">
      <c r="I403" s="3"/>
    </row>
    <row r="404" spans="9:9" ht="12.75" customHeight="1" x14ac:dyDescent="0.25">
      <c r="I404" s="3"/>
    </row>
    <row r="405" spans="9:9" ht="12.75" customHeight="1" x14ac:dyDescent="0.25">
      <c r="I405" s="3"/>
    </row>
    <row r="406" spans="9:9" ht="12.75" customHeight="1" x14ac:dyDescent="0.25">
      <c r="I406" s="3"/>
    </row>
    <row r="407" spans="9:9" ht="12.75" customHeight="1" x14ac:dyDescent="0.25">
      <c r="I407" s="3"/>
    </row>
    <row r="408" spans="9:9" ht="12.75" customHeight="1" x14ac:dyDescent="0.25">
      <c r="I408" s="3"/>
    </row>
    <row r="409" spans="9:9" ht="12.75" customHeight="1" x14ac:dyDescent="0.25">
      <c r="I409" s="3"/>
    </row>
    <row r="410" spans="9:9" ht="12.75" customHeight="1" x14ac:dyDescent="0.25">
      <c r="I410" s="3"/>
    </row>
    <row r="411" spans="9:9" ht="12.75" customHeight="1" x14ac:dyDescent="0.25">
      <c r="I411" s="3"/>
    </row>
    <row r="412" spans="9:9" ht="12.75" customHeight="1" x14ac:dyDescent="0.25">
      <c r="I412" s="3"/>
    </row>
    <row r="413" spans="9:9" ht="12.75" customHeight="1" x14ac:dyDescent="0.25">
      <c r="I413" s="3"/>
    </row>
    <row r="414" spans="9:9" ht="12.75" customHeight="1" x14ac:dyDescent="0.25">
      <c r="I414" s="3"/>
    </row>
    <row r="415" spans="9:9" ht="12.75" customHeight="1" x14ac:dyDescent="0.25">
      <c r="I415" s="3"/>
    </row>
    <row r="416" spans="9:9" ht="12.75" customHeight="1" x14ac:dyDescent="0.25">
      <c r="I416" s="3"/>
    </row>
    <row r="417" spans="9:9" ht="12.75" customHeight="1" x14ac:dyDescent="0.25">
      <c r="I417" s="3"/>
    </row>
    <row r="418" spans="9:9" ht="12.75" customHeight="1" x14ac:dyDescent="0.25">
      <c r="I418" s="3"/>
    </row>
    <row r="419" spans="9:9" ht="12.75" customHeight="1" x14ac:dyDescent="0.25">
      <c r="I419" s="3"/>
    </row>
    <row r="420" spans="9:9" ht="12.75" customHeight="1" x14ac:dyDescent="0.25">
      <c r="I420" s="3"/>
    </row>
    <row r="421" spans="9:9" ht="12.75" customHeight="1" x14ac:dyDescent="0.25">
      <c r="I421" s="3"/>
    </row>
    <row r="422" spans="9:9" ht="12.75" customHeight="1" x14ac:dyDescent="0.25">
      <c r="I422" s="3"/>
    </row>
    <row r="423" spans="9:9" ht="12.75" customHeight="1" x14ac:dyDescent="0.25">
      <c r="I423" s="3"/>
    </row>
    <row r="424" spans="9:9" ht="12.75" customHeight="1" x14ac:dyDescent="0.25">
      <c r="I424" s="3"/>
    </row>
    <row r="425" spans="9:9" ht="12.75" customHeight="1" x14ac:dyDescent="0.25">
      <c r="I425" s="3"/>
    </row>
    <row r="426" spans="9:9" ht="12.75" customHeight="1" x14ac:dyDescent="0.25">
      <c r="I426" s="3"/>
    </row>
    <row r="427" spans="9:9" ht="12.75" customHeight="1" x14ac:dyDescent="0.25">
      <c r="I427" s="3"/>
    </row>
    <row r="428" spans="9:9" ht="12.75" customHeight="1" x14ac:dyDescent="0.25">
      <c r="I428" s="3"/>
    </row>
    <row r="429" spans="9:9" ht="12.75" customHeight="1" x14ac:dyDescent="0.25">
      <c r="I429" s="3"/>
    </row>
    <row r="430" spans="9:9" ht="12.75" customHeight="1" x14ac:dyDescent="0.25">
      <c r="I430" s="3"/>
    </row>
    <row r="431" spans="9:9" ht="12.75" customHeight="1" x14ac:dyDescent="0.25">
      <c r="I431" s="3"/>
    </row>
    <row r="432" spans="9:9" ht="12.75" customHeight="1" x14ac:dyDescent="0.25">
      <c r="I432" s="3"/>
    </row>
    <row r="433" spans="9:9" ht="12.75" customHeight="1" x14ac:dyDescent="0.25">
      <c r="I433" s="3"/>
    </row>
    <row r="434" spans="9:9" ht="12.75" customHeight="1" x14ac:dyDescent="0.25">
      <c r="I434" s="3"/>
    </row>
    <row r="435" spans="9:9" ht="12.75" customHeight="1" x14ac:dyDescent="0.25">
      <c r="I435" s="3"/>
    </row>
    <row r="436" spans="9:9" ht="12.75" customHeight="1" x14ac:dyDescent="0.25">
      <c r="I436" s="3"/>
    </row>
    <row r="437" spans="9:9" ht="12.75" customHeight="1" x14ac:dyDescent="0.25">
      <c r="I437" s="3"/>
    </row>
    <row r="438" spans="9:9" ht="12.75" customHeight="1" x14ac:dyDescent="0.25">
      <c r="I438" s="3"/>
    </row>
    <row r="439" spans="9:9" ht="12.75" customHeight="1" x14ac:dyDescent="0.25">
      <c r="I439" s="3"/>
    </row>
    <row r="440" spans="9:9" ht="12.75" customHeight="1" x14ac:dyDescent="0.25">
      <c r="I440" s="3"/>
    </row>
    <row r="441" spans="9:9" ht="12.75" customHeight="1" x14ac:dyDescent="0.25">
      <c r="I441" s="3"/>
    </row>
    <row r="442" spans="9:9" ht="12.75" customHeight="1" x14ac:dyDescent="0.25">
      <c r="I442" s="3"/>
    </row>
    <row r="443" spans="9:9" ht="12.75" customHeight="1" x14ac:dyDescent="0.25">
      <c r="I443" s="3"/>
    </row>
    <row r="444" spans="9:9" ht="12.75" customHeight="1" x14ac:dyDescent="0.25">
      <c r="I444" s="3"/>
    </row>
    <row r="445" spans="9:9" ht="12.75" customHeight="1" x14ac:dyDescent="0.25">
      <c r="I445" s="3"/>
    </row>
    <row r="446" spans="9:9" ht="12.75" customHeight="1" x14ac:dyDescent="0.25">
      <c r="I446" s="3"/>
    </row>
    <row r="447" spans="9:9" ht="12.75" customHeight="1" x14ac:dyDescent="0.25">
      <c r="I447" s="3"/>
    </row>
    <row r="448" spans="9:9" ht="12.75" customHeight="1" x14ac:dyDescent="0.25">
      <c r="I448" s="3"/>
    </row>
    <row r="449" spans="9:9" ht="12.75" customHeight="1" x14ac:dyDescent="0.25">
      <c r="I449" s="3"/>
    </row>
    <row r="450" spans="9:9" ht="12.75" customHeight="1" x14ac:dyDescent="0.25">
      <c r="I450" s="3"/>
    </row>
    <row r="451" spans="9:9" ht="12.75" customHeight="1" x14ac:dyDescent="0.25">
      <c r="I451" s="3"/>
    </row>
    <row r="452" spans="9:9" ht="12.75" customHeight="1" x14ac:dyDescent="0.25">
      <c r="I452" s="3"/>
    </row>
    <row r="453" spans="9:9" ht="12.75" customHeight="1" x14ac:dyDescent="0.25">
      <c r="I453" s="3"/>
    </row>
    <row r="454" spans="9:9" ht="12.75" customHeight="1" x14ac:dyDescent="0.25">
      <c r="I454" s="3"/>
    </row>
    <row r="455" spans="9:9" ht="12.75" customHeight="1" x14ac:dyDescent="0.25">
      <c r="I455" s="3"/>
    </row>
    <row r="456" spans="9:9" ht="12.75" customHeight="1" x14ac:dyDescent="0.25">
      <c r="I456" s="3"/>
    </row>
    <row r="457" spans="9:9" ht="12.75" customHeight="1" x14ac:dyDescent="0.25">
      <c r="I457" s="3"/>
    </row>
    <row r="458" spans="9:9" ht="12.75" customHeight="1" x14ac:dyDescent="0.25">
      <c r="I458" s="3"/>
    </row>
    <row r="459" spans="9:9" ht="12.75" customHeight="1" x14ac:dyDescent="0.25">
      <c r="I459" s="3"/>
    </row>
    <row r="460" spans="9:9" ht="12.75" customHeight="1" x14ac:dyDescent="0.25">
      <c r="I460" s="3"/>
    </row>
    <row r="461" spans="9:9" ht="12.75" customHeight="1" x14ac:dyDescent="0.25">
      <c r="I461" s="3"/>
    </row>
    <row r="462" spans="9:9" ht="12.75" customHeight="1" x14ac:dyDescent="0.25">
      <c r="I462" s="3"/>
    </row>
    <row r="463" spans="9:9" ht="12.75" customHeight="1" x14ac:dyDescent="0.25">
      <c r="I463" s="3"/>
    </row>
    <row r="464" spans="9:9" ht="12.75" customHeight="1" x14ac:dyDescent="0.25">
      <c r="I464" s="3"/>
    </row>
    <row r="465" spans="9:9" ht="12.75" customHeight="1" x14ac:dyDescent="0.25">
      <c r="I465" s="3"/>
    </row>
    <row r="466" spans="9:9" ht="12.75" customHeight="1" x14ac:dyDescent="0.25">
      <c r="I466" s="3"/>
    </row>
    <row r="467" spans="9:9" ht="12.75" customHeight="1" x14ac:dyDescent="0.25">
      <c r="I467" s="3"/>
    </row>
    <row r="468" spans="9:9" ht="12.75" customHeight="1" x14ac:dyDescent="0.25">
      <c r="I468" s="3"/>
    </row>
    <row r="469" spans="9:9" ht="12.75" customHeight="1" x14ac:dyDescent="0.25">
      <c r="I469" s="3"/>
    </row>
    <row r="470" spans="9:9" ht="12.75" customHeight="1" x14ac:dyDescent="0.25">
      <c r="I470" s="3"/>
    </row>
    <row r="471" spans="9:9" ht="12.75" customHeight="1" x14ac:dyDescent="0.25">
      <c r="I471" s="3"/>
    </row>
    <row r="472" spans="9:9" ht="12.75" customHeight="1" x14ac:dyDescent="0.25">
      <c r="I472" s="3"/>
    </row>
    <row r="473" spans="9:9" ht="12.75" customHeight="1" x14ac:dyDescent="0.25">
      <c r="I473" s="3"/>
    </row>
    <row r="474" spans="9:9" ht="12.75" customHeight="1" x14ac:dyDescent="0.25">
      <c r="I474" s="3"/>
    </row>
    <row r="475" spans="9:9" ht="12.75" customHeight="1" x14ac:dyDescent="0.25">
      <c r="I475" s="3"/>
    </row>
    <row r="476" spans="9:9" ht="12.75" customHeight="1" x14ac:dyDescent="0.25">
      <c r="I476" s="3"/>
    </row>
    <row r="477" spans="9:9" ht="12.75" customHeight="1" x14ac:dyDescent="0.25">
      <c r="I477" s="3"/>
    </row>
    <row r="478" spans="9:9" ht="12.75" customHeight="1" x14ac:dyDescent="0.25">
      <c r="I478" s="3"/>
    </row>
    <row r="479" spans="9:9" ht="12.75" customHeight="1" x14ac:dyDescent="0.25">
      <c r="I479" s="3"/>
    </row>
    <row r="480" spans="9:9" ht="12.75" customHeight="1" x14ac:dyDescent="0.25">
      <c r="I480" s="3"/>
    </row>
    <row r="481" spans="9:9" ht="12.75" customHeight="1" x14ac:dyDescent="0.25">
      <c r="I481" s="3"/>
    </row>
    <row r="482" spans="9:9" ht="12.75" customHeight="1" x14ac:dyDescent="0.25">
      <c r="I482" s="3"/>
    </row>
    <row r="483" spans="9:9" ht="12.75" customHeight="1" x14ac:dyDescent="0.25">
      <c r="I483" s="3"/>
    </row>
    <row r="484" spans="9:9" ht="12.75" customHeight="1" x14ac:dyDescent="0.25">
      <c r="I484" s="3"/>
    </row>
    <row r="485" spans="9:9" ht="12.75" customHeight="1" x14ac:dyDescent="0.25">
      <c r="I485" s="3"/>
    </row>
    <row r="486" spans="9:9" ht="12.75" customHeight="1" x14ac:dyDescent="0.25">
      <c r="I486" s="3"/>
    </row>
    <row r="487" spans="9:9" ht="12.75" customHeight="1" x14ac:dyDescent="0.25">
      <c r="I487" s="3"/>
    </row>
    <row r="488" spans="9:9" ht="12.75" customHeight="1" x14ac:dyDescent="0.25">
      <c r="I488" s="3"/>
    </row>
    <row r="489" spans="9:9" ht="12.75" customHeight="1" x14ac:dyDescent="0.25">
      <c r="I489" s="3"/>
    </row>
    <row r="490" spans="9:9" ht="12.75" customHeight="1" x14ac:dyDescent="0.25">
      <c r="I490" s="3"/>
    </row>
    <row r="491" spans="9:9" ht="12.75" customHeight="1" x14ac:dyDescent="0.25">
      <c r="I491" s="3"/>
    </row>
    <row r="492" spans="9:9" ht="12.75" customHeight="1" x14ac:dyDescent="0.25">
      <c r="I492" s="3"/>
    </row>
    <row r="493" spans="9:9" ht="12.75" customHeight="1" x14ac:dyDescent="0.25">
      <c r="I493" s="3"/>
    </row>
    <row r="494" spans="9:9" ht="12.75" customHeight="1" x14ac:dyDescent="0.25">
      <c r="I494" s="3"/>
    </row>
    <row r="495" spans="9:9" ht="12.75" customHeight="1" x14ac:dyDescent="0.25">
      <c r="I495" s="3"/>
    </row>
    <row r="496" spans="9:9" ht="12.75" customHeight="1" x14ac:dyDescent="0.25">
      <c r="I496" s="3"/>
    </row>
    <row r="497" spans="9:9" ht="12.75" customHeight="1" x14ac:dyDescent="0.25">
      <c r="I497" s="3"/>
    </row>
    <row r="498" spans="9:9" ht="12.75" customHeight="1" x14ac:dyDescent="0.25">
      <c r="I498" s="3"/>
    </row>
    <row r="499" spans="9:9" ht="12.75" customHeight="1" x14ac:dyDescent="0.25">
      <c r="I499" s="3"/>
    </row>
    <row r="500" spans="9:9" ht="12.75" customHeight="1" x14ac:dyDescent="0.25">
      <c r="I500" s="3"/>
    </row>
    <row r="501" spans="9:9" ht="12.75" customHeight="1" x14ac:dyDescent="0.25">
      <c r="I501" s="3"/>
    </row>
    <row r="502" spans="9:9" ht="12.75" customHeight="1" x14ac:dyDescent="0.25">
      <c r="I502" s="3"/>
    </row>
    <row r="503" spans="9:9" ht="12.75" customHeight="1" x14ac:dyDescent="0.25">
      <c r="I503" s="3"/>
    </row>
    <row r="504" spans="9:9" ht="12.75" customHeight="1" x14ac:dyDescent="0.25">
      <c r="I504" s="3"/>
    </row>
    <row r="505" spans="9:9" ht="12.75" customHeight="1" x14ac:dyDescent="0.25">
      <c r="I505" s="3"/>
    </row>
    <row r="506" spans="9:9" ht="12.75" customHeight="1" x14ac:dyDescent="0.25">
      <c r="I506" s="3"/>
    </row>
    <row r="507" spans="9:9" ht="12.75" customHeight="1" x14ac:dyDescent="0.25">
      <c r="I507" s="3"/>
    </row>
    <row r="508" spans="9:9" ht="12.75" customHeight="1" x14ac:dyDescent="0.25">
      <c r="I508" s="3"/>
    </row>
    <row r="509" spans="9:9" ht="12.75" customHeight="1" x14ac:dyDescent="0.25">
      <c r="I509" s="3"/>
    </row>
    <row r="510" spans="9:9" ht="12.75" customHeight="1" x14ac:dyDescent="0.25">
      <c r="I510" s="3"/>
    </row>
    <row r="511" spans="9:9" ht="12.75" customHeight="1" x14ac:dyDescent="0.25">
      <c r="I511" s="3"/>
    </row>
    <row r="512" spans="9:9" ht="12.75" customHeight="1" x14ac:dyDescent="0.25">
      <c r="I512" s="3"/>
    </row>
    <row r="513" spans="9:9" ht="12.75" customHeight="1" x14ac:dyDescent="0.25">
      <c r="I513" s="3"/>
    </row>
    <row r="514" spans="9:9" ht="12.75" customHeight="1" x14ac:dyDescent="0.25">
      <c r="I514" s="3"/>
    </row>
    <row r="515" spans="9:9" ht="12.75" customHeight="1" x14ac:dyDescent="0.25">
      <c r="I515" s="3"/>
    </row>
    <row r="516" spans="9:9" ht="12.75" customHeight="1" x14ac:dyDescent="0.25">
      <c r="I516" s="3"/>
    </row>
    <row r="517" spans="9:9" ht="12.75" customHeight="1" x14ac:dyDescent="0.25">
      <c r="I517" s="3"/>
    </row>
    <row r="518" spans="9:9" ht="12.75" customHeight="1" x14ac:dyDescent="0.25">
      <c r="I518" s="3"/>
    </row>
    <row r="519" spans="9:9" ht="12.75" customHeight="1" x14ac:dyDescent="0.25">
      <c r="I519" s="3"/>
    </row>
    <row r="520" spans="9:9" ht="12.75" customHeight="1" x14ac:dyDescent="0.25">
      <c r="I520" s="3"/>
    </row>
    <row r="521" spans="9:9" ht="12.75" customHeight="1" x14ac:dyDescent="0.25">
      <c r="I521" s="3"/>
    </row>
    <row r="522" spans="9:9" ht="12.75" customHeight="1" x14ac:dyDescent="0.25">
      <c r="I522" s="3"/>
    </row>
    <row r="523" spans="9:9" ht="12.75" customHeight="1" x14ac:dyDescent="0.25">
      <c r="I523" s="3"/>
    </row>
    <row r="524" spans="9:9" ht="12.75" customHeight="1" x14ac:dyDescent="0.25">
      <c r="I524" s="3"/>
    </row>
    <row r="525" spans="9:9" ht="12.75" customHeight="1" x14ac:dyDescent="0.25">
      <c r="I525" s="3"/>
    </row>
    <row r="526" spans="9:9" ht="12.75" customHeight="1" x14ac:dyDescent="0.25">
      <c r="I526" s="3"/>
    </row>
    <row r="527" spans="9:9" ht="12.75" customHeight="1" x14ac:dyDescent="0.25">
      <c r="I527" s="3"/>
    </row>
    <row r="528" spans="9:9" ht="12.75" customHeight="1" x14ac:dyDescent="0.25">
      <c r="I528" s="3"/>
    </row>
    <row r="529" spans="9:9" ht="12.75" customHeight="1" x14ac:dyDescent="0.25">
      <c r="I529" s="3"/>
    </row>
    <row r="530" spans="9:9" ht="12.75" customHeight="1" x14ac:dyDescent="0.25">
      <c r="I530" s="3"/>
    </row>
    <row r="531" spans="9:9" ht="12.75" customHeight="1" x14ac:dyDescent="0.25">
      <c r="I531" s="3"/>
    </row>
    <row r="532" spans="9:9" ht="12.75" customHeight="1" x14ac:dyDescent="0.25">
      <c r="I532" s="3"/>
    </row>
    <row r="533" spans="9:9" ht="12.75" customHeight="1" x14ac:dyDescent="0.25">
      <c r="I533" s="3"/>
    </row>
    <row r="534" spans="9:9" ht="12.75" customHeight="1" x14ac:dyDescent="0.25">
      <c r="I534" s="3"/>
    </row>
    <row r="535" spans="9:9" ht="12.75" customHeight="1" x14ac:dyDescent="0.25">
      <c r="I535" s="3"/>
    </row>
    <row r="536" spans="9:9" ht="12.75" customHeight="1" x14ac:dyDescent="0.25">
      <c r="I536" s="3"/>
    </row>
    <row r="537" spans="9:9" ht="12.75" customHeight="1" x14ac:dyDescent="0.25">
      <c r="I537" s="3"/>
    </row>
    <row r="538" spans="9:9" ht="12.75" customHeight="1" x14ac:dyDescent="0.25">
      <c r="I538" s="3"/>
    </row>
    <row r="539" spans="9:9" ht="12.75" customHeight="1" x14ac:dyDescent="0.25">
      <c r="I539" s="3"/>
    </row>
    <row r="540" spans="9:9" ht="12.75" customHeight="1" x14ac:dyDescent="0.25">
      <c r="I540" s="3"/>
    </row>
    <row r="541" spans="9:9" ht="12.75" customHeight="1" x14ac:dyDescent="0.25">
      <c r="I541" s="3"/>
    </row>
    <row r="542" spans="9:9" ht="12.75" customHeight="1" x14ac:dyDescent="0.25">
      <c r="I542" s="3"/>
    </row>
    <row r="543" spans="9:9" ht="12.75" customHeight="1" x14ac:dyDescent="0.25">
      <c r="I543" s="3"/>
    </row>
    <row r="544" spans="9:9" ht="12.75" customHeight="1" x14ac:dyDescent="0.25">
      <c r="I544" s="3"/>
    </row>
    <row r="545" spans="9:9" ht="12.75" customHeight="1" x14ac:dyDescent="0.25">
      <c r="I545" s="3"/>
    </row>
    <row r="546" spans="9:9" ht="12.75" customHeight="1" x14ac:dyDescent="0.25">
      <c r="I546" s="3"/>
    </row>
    <row r="547" spans="9:9" ht="12.75" customHeight="1" x14ac:dyDescent="0.25">
      <c r="I547" s="3"/>
    </row>
    <row r="548" spans="9:9" ht="12.75" customHeight="1" x14ac:dyDescent="0.25">
      <c r="I548" s="3"/>
    </row>
    <row r="549" spans="9:9" ht="12.75" customHeight="1" x14ac:dyDescent="0.25">
      <c r="I549" s="3"/>
    </row>
    <row r="550" spans="9:9" ht="12.75" customHeight="1" x14ac:dyDescent="0.25">
      <c r="I550" s="3"/>
    </row>
    <row r="551" spans="9:9" ht="12.75" customHeight="1" x14ac:dyDescent="0.25">
      <c r="I551" s="3"/>
    </row>
    <row r="552" spans="9:9" ht="12.75" customHeight="1" x14ac:dyDescent="0.25">
      <c r="I552" s="3"/>
    </row>
    <row r="553" spans="9:9" ht="12.75" customHeight="1" x14ac:dyDescent="0.25">
      <c r="I553" s="3"/>
    </row>
    <row r="554" spans="9:9" ht="12.75" customHeight="1" x14ac:dyDescent="0.25">
      <c r="I554" s="3"/>
    </row>
    <row r="555" spans="9:9" ht="12.75" customHeight="1" x14ac:dyDescent="0.25">
      <c r="I555" s="3"/>
    </row>
    <row r="556" spans="9:9" ht="12.75" customHeight="1" x14ac:dyDescent="0.25">
      <c r="I556" s="3"/>
    </row>
    <row r="557" spans="9:9" ht="12.75" customHeight="1" x14ac:dyDescent="0.25">
      <c r="I557" s="3"/>
    </row>
    <row r="558" spans="9:9" ht="12.75" customHeight="1" x14ac:dyDescent="0.25">
      <c r="I558" s="3"/>
    </row>
    <row r="559" spans="9:9" ht="12.75" customHeight="1" x14ac:dyDescent="0.25">
      <c r="I559" s="3"/>
    </row>
    <row r="560" spans="9:9" ht="12.75" customHeight="1" x14ac:dyDescent="0.25">
      <c r="I560" s="3"/>
    </row>
    <row r="561" spans="9:9" ht="12.75" customHeight="1" x14ac:dyDescent="0.25">
      <c r="I561" s="3"/>
    </row>
    <row r="562" spans="9:9" ht="12.75" customHeight="1" x14ac:dyDescent="0.25">
      <c r="I562" s="3"/>
    </row>
    <row r="563" spans="9:9" ht="12.75" customHeight="1" x14ac:dyDescent="0.25">
      <c r="I563" s="3"/>
    </row>
    <row r="564" spans="9:9" ht="12.75" customHeight="1" x14ac:dyDescent="0.25">
      <c r="I564" s="3"/>
    </row>
    <row r="565" spans="9:9" ht="12.75" customHeight="1" x14ac:dyDescent="0.25">
      <c r="I565" s="3"/>
    </row>
    <row r="566" spans="9:9" ht="12.75" customHeight="1" x14ac:dyDescent="0.25">
      <c r="I566" s="3"/>
    </row>
    <row r="567" spans="9:9" ht="12.75" customHeight="1" x14ac:dyDescent="0.25">
      <c r="I567" s="3"/>
    </row>
    <row r="568" spans="9:9" ht="12.75" customHeight="1" x14ac:dyDescent="0.25">
      <c r="I568" s="3"/>
    </row>
    <row r="569" spans="9:9" ht="12.75" customHeight="1" x14ac:dyDescent="0.25">
      <c r="I569" s="3"/>
    </row>
    <row r="570" spans="9:9" ht="12.75" customHeight="1" x14ac:dyDescent="0.25">
      <c r="I570" s="3"/>
    </row>
    <row r="571" spans="9:9" ht="12.75" customHeight="1" x14ac:dyDescent="0.25">
      <c r="I571" s="3"/>
    </row>
    <row r="572" spans="9:9" ht="12.75" customHeight="1" x14ac:dyDescent="0.25">
      <c r="I572" s="3"/>
    </row>
    <row r="573" spans="9:9" ht="12.75" customHeight="1" x14ac:dyDescent="0.25">
      <c r="I573" s="3"/>
    </row>
    <row r="574" spans="9:9" ht="12.75" customHeight="1" x14ac:dyDescent="0.25">
      <c r="I574" s="3"/>
    </row>
    <row r="575" spans="9:9" ht="12.75" customHeight="1" x14ac:dyDescent="0.25">
      <c r="I575" s="3"/>
    </row>
    <row r="576" spans="9:9" ht="12.75" customHeight="1" x14ac:dyDescent="0.25">
      <c r="I576" s="3"/>
    </row>
    <row r="577" spans="9:9" ht="12.75" customHeight="1" x14ac:dyDescent="0.25">
      <c r="I577" s="3"/>
    </row>
    <row r="578" spans="9:9" ht="12.75" customHeight="1" x14ac:dyDescent="0.25">
      <c r="I578" s="3"/>
    </row>
    <row r="579" spans="9:9" ht="12.75" customHeight="1" x14ac:dyDescent="0.25">
      <c r="I579" s="3"/>
    </row>
    <row r="580" spans="9:9" ht="12.75" customHeight="1" x14ac:dyDescent="0.25">
      <c r="I580" s="3"/>
    </row>
    <row r="581" spans="9:9" ht="12.75" customHeight="1" x14ac:dyDescent="0.25">
      <c r="I581" s="3"/>
    </row>
    <row r="582" spans="9:9" ht="12.75" customHeight="1" x14ac:dyDescent="0.25">
      <c r="I582" s="3"/>
    </row>
    <row r="583" spans="9:9" ht="12.75" customHeight="1" x14ac:dyDescent="0.25">
      <c r="I583" s="3"/>
    </row>
    <row r="584" spans="9:9" ht="12.75" customHeight="1" x14ac:dyDescent="0.25">
      <c r="I584" s="3"/>
    </row>
    <row r="585" spans="9:9" ht="12.75" customHeight="1" x14ac:dyDescent="0.25">
      <c r="I585" s="3"/>
    </row>
    <row r="586" spans="9:9" ht="12.75" customHeight="1" x14ac:dyDescent="0.25">
      <c r="I586" s="3"/>
    </row>
    <row r="587" spans="9:9" ht="12.75" customHeight="1" x14ac:dyDescent="0.25">
      <c r="I587" s="3"/>
    </row>
    <row r="588" spans="9:9" ht="12.75" customHeight="1" x14ac:dyDescent="0.25">
      <c r="I588" s="3"/>
    </row>
    <row r="589" spans="9:9" ht="12.75" customHeight="1" x14ac:dyDescent="0.25">
      <c r="I589" s="3"/>
    </row>
    <row r="590" spans="9:9" ht="12.75" customHeight="1" x14ac:dyDescent="0.25">
      <c r="I590" s="3"/>
    </row>
    <row r="591" spans="9:9" ht="12.75" customHeight="1" x14ac:dyDescent="0.25">
      <c r="I591" s="3"/>
    </row>
    <row r="592" spans="9:9" ht="12.75" customHeight="1" x14ac:dyDescent="0.25">
      <c r="I592" s="3"/>
    </row>
    <row r="593" spans="9:9" ht="12.75" customHeight="1" x14ac:dyDescent="0.25">
      <c r="I593" s="3"/>
    </row>
    <row r="594" spans="9:9" ht="12.75" customHeight="1" x14ac:dyDescent="0.25">
      <c r="I594" s="3"/>
    </row>
    <row r="595" spans="9:9" ht="12.75" customHeight="1" x14ac:dyDescent="0.25">
      <c r="I595" s="3"/>
    </row>
    <row r="596" spans="9:9" ht="12.75" customHeight="1" x14ac:dyDescent="0.25">
      <c r="I596" s="3"/>
    </row>
    <row r="597" spans="9:9" ht="12.75" customHeight="1" x14ac:dyDescent="0.25">
      <c r="I597" s="3"/>
    </row>
    <row r="598" spans="9:9" ht="12.75" customHeight="1" x14ac:dyDescent="0.25">
      <c r="I598" s="3"/>
    </row>
    <row r="599" spans="9:9" ht="12.75" customHeight="1" x14ac:dyDescent="0.25">
      <c r="I599" s="3"/>
    </row>
    <row r="600" spans="9:9" ht="12.75" customHeight="1" x14ac:dyDescent="0.25">
      <c r="I600" s="3"/>
    </row>
    <row r="601" spans="9:9" ht="12.75" customHeight="1" x14ac:dyDescent="0.25">
      <c r="I601" s="3"/>
    </row>
    <row r="602" spans="9:9" ht="12.75" customHeight="1" x14ac:dyDescent="0.25">
      <c r="I602" s="3"/>
    </row>
    <row r="603" spans="9:9" ht="12.75" customHeight="1" x14ac:dyDescent="0.25">
      <c r="I603" s="3"/>
    </row>
    <row r="604" spans="9:9" ht="12.75" customHeight="1" x14ac:dyDescent="0.25">
      <c r="I604" s="3"/>
    </row>
    <row r="605" spans="9:9" ht="12.75" customHeight="1" x14ac:dyDescent="0.25">
      <c r="I605" s="3"/>
    </row>
    <row r="606" spans="9:9" ht="12.75" customHeight="1" x14ac:dyDescent="0.25">
      <c r="I606" s="3"/>
    </row>
    <row r="607" spans="9:9" ht="12.75" customHeight="1" x14ac:dyDescent="0.25">
      <c r="I607" s="3"/>
    </row>
    <row r="608" spans="9:9" ht="12.75" customHeight="1" x14ac:dyDescent="0.25">
      <c r="I608" s="3"/>
    </row>
    <row r="609" spans="9:9" ht="12.75" customHeight="1" x14ac:dyDescent="0.25">
      <c r="I609" s="3"/>
    </row>
    <row r="610" spans="9:9" ht="12.75" customHeight="1" x14ac:dyDescent="0.25">
      <c r="I610" s="3"/>
    </row>
    <row r="611" spans="9:9" ht="12.75" customHeight="1" x14ac:dyDescent="0.25">
      <c r="I611" s="3"/>
    </row>
    <row r="612" spans="9:9" ht="12.75" customHeight="1" x14ac:dyDescent="0.25">
      <c r="I612" s="3"/>
    </row>
    <row r="613" spans="9:9" ht="12.75" customHeight="1" x14ac:dyDescent="0.25">
      <c r="I613" s="3"/>
    </row>
    <row r="614" spans="9:9" ht="12.75" customHeight="1" x14ac:dyDescent="0.25">
      <c r="I614" s="3"/>
    </row>
    <row r="615" spans="9:9" ht="12.75" customHeight="1" x14ac:dyDescent="0.25">
      <c r="I615" s="3"/>
    </row>
    <row r="616" spans="9:9" ht="12.75" customHeight="1" x14ac:dyDescent="0.25">
      <c r="I616" s="3"/>
    </row>
    <row r="617" spans="9:9" ht="12.75" customHeight="1" x14ac:dyDescent="0.25">
      <c r="I617" s="3"/>
    </row>
    <row r="618" spans="9:9" ht="12.75" customHeight="1" x14ac:dyDescent="0.25">
      <c r="I618" s="3"/>
    </row>
    <row r="619" spans="9:9" ht="12.75" customHeight="1" x14ac:dyDescent="0.25">
      <c r="I619" s="3"/>
    </row>
    <row r="620" spans="9:9" ht="12.75" customHeight="1" x14ac:dyDescent="0.25">
      <c r="I620" s="3"/>
    </row>
    <row r="621" spans="9:9" ht="12.75" customHeight="1" x14ac:dyDescent="0.25">
      <c r="I621" s="3"/>
    </row>
    <row r="622" spans="9:9" ht="12.75" customHeight="1" x14ac:dyDescent="0.25">
      <c r="I622" s="3"/>
    </row>
    <row r="623" spans="9:9" ht="12.75" customHeight="1" x14ac:dyDescent="0.25">
      <c r="I623" s="3"/>
    </row>
    <row r="624" spans="9:9" ht="12.75" customHeight="1" x14ac:dyDescent="0.25">
      <c r="I624" s="3"/>
    </row>
    <row r="625" spans="9:9" ht="12.75" customHeight="1" x14ac:dyDescent="0.25">
      <c r="I625" s="3"/>
    </row>
    <row r="626" spans="9:9" ht="12.75" customHeight="1" x14ac:dyDescent="0.25">
      <c r="I626" s="3"/>
    </row>
    <row r="627" spans="9:9" ht="12.75" customHeight="1" x14ac:dyDescent="0.25">
      <c r="I627" s="3"/>
    </row>
    <row r="628" spans="9:9" ht="12.75" customHeight="1" x14ac:dyDescent="0.25">
      <c r="I628" s="3"/>
    </row>
    <row r="629" spans="9:9" ht="12.75" customHeight="1" x14ac:dyDescent="0.25">
      <c r="I629" s="3"/>
    </row>
    <row r="630" spans="9:9" ht="12.75" customHeight="1" x14ac:dyDescent="0.25">
      <c r="I630" s="3"/>
    </row>
    <row r="631" spans="9:9" ht="12.75" customHeight="1" x14ac:dyDescent="0.25">
      <c r="I631" s="3"/>
    </row>
    <row r="632" spans="9:9" ht="12.75" customHeight="1" x14ac:dyDescent="0.25">
      <c r="I632" s="3"/>
    </row>
    <row r="633" spans="9:9" ht="12.75" customHeight="1" x14ac:dyDescent="0.25">
      <c r="I633" s="3"/>
    </row>
    <row r="634" spans="9:9" ht="12.75" customHeight="1" x14ac:dyDescent="0.25">
      <c r="I634" s="3"/>
    </row>
    <row r="635" spans="9:9" ht="12.75" customHeight="1" x14ac:dyDescent="0.25">
      <c r="I635" s="3"/>
    </row>
    <row r="636" spans="9:9" ht="12.75" customHeight="1" x14ac:dyDescent="0.25">
      <c r="I636" s="3"/>
    </row>
    <row r="637" spans="9:9" ht="12.75" customHeight="1" x14ac:dyDescent="0.25">
      <c r="I637" s="3"/>
    </row>
    <row r="638" spans="9:9" ht="12.75" customHeight="1" x14ac:dyDescent="0.25">
      <c r="I638" s="3"/>
    </row>
    <row r="639" spans="9:9" ht="12.75" customHeight="1" x14ac:dyDescent="0.25">
      <c r="I639" s="3"/>
    </row>
    <row r="640" spans="9:9" ht="12.75" customHeight="1" x14ac:dyDescent="0.25">
      <c r="I640" s="3"/>
    </row>
    <row r="641" spans="9:9" ht="12.75" customHeight="1" x14ac:dyDescent="0.25">
      <c r="I641" s="3"/>
    </row>
    <row r="642" spans="9:9" ht="12.75" customHeight="1" x14ac:dyDescent="0.25">
      <c r="I642" s="3"/>
    </row>
    <row r="643" spans="9:9" ht="12.75" customHeight="1" x14ac:dyDescent="0.25">
      <c r="I643" s="3"/>
    </row>
    <row r="644" spans="9:9" ht="12.75" customHeight="1" x14ac:dyDescent="0.25">
      <c r="I644" s="3"/>
    </row>
    <row r="645" spans="9:9" ht="12.75" customHeight="1" x14ac:dyDescent="0.25">
      <c r="I645" s="3"/>
    </row>
    <row r="646" spans="9:9" ht="12.75" customHeight="1" x14ac:dyDescent="0.25">
      <c r="I646" s="3"/>
    </row>
    <row r="647" spans="9:9" ht="12.75" customHeight="1" x14ac:dyDescent="0.25">
      <c r="I647" s="3"/>
    </row>
    <row r="648" spans="9:9" ht="12.75" customHeight="1" x14ac:dyDescent="0.25">
      <c r="I648" s="3"/>
    </row>
    <row r="649" spans="9:9" ht="12.75" customHeight="1" x14ac:dyDescent="0.25">
      <c r="I649" s="3"/>
    </row>
    <row r="650" spans="9:9" ht="12.75" customHeight="1" x14ac:dyDescent="0.25">
      <c r="I650" s="3"/>
    </row>
    <row r="651" spans="9:9" ht="12.75" customHeight="1" x14ac:dyDescent="0.25">
      <c r="I651" s="3"/>
    </row>
    <row r="652" spans="9:9" ht="12.75" customHeight="1" x14ac:dyDescent="0.25">
      <c r="I652" s="3"/>
    </row>
    <row r="653" spans="9:9" ht="12.75" customHeight="1" x14ac:dyDescent="0.25">
      <c r="I653" s="3"/>
    </row>
    <row r="654" spans="9:9" ht="12.75" customHeight="1" x14ac:dyDescent="0.25">
      <c r="I654" s="3"/>
    </row>
    <row r="655" spans="9:9" ht="12.75" customHeight="1" x14ac:dyDescent="0.25">
      <c r="I655" s="3"/>
    </row>
    <row r="656" spans="9:9" ht="12.75" customHeight="1" x14ac:dyDescent="0.25">
      <c r="I656" s="3"/>
    </row>
    <row r="657" spans="9:9" ht="12.75" customHeight="1" x14ac:dyDescent="0.25">
      <c r="I657" s="3"/>
    </row>
    <row r="658" spans="9:9" ht="12.75" customHeight="1" x14ac:dyDescent="0.25">
      <c r="I658" s="3"/>
    </row>
    <row r="659" spans="9:9" ht="12.75" customHeight="1" x14ac:dyDescent="0.25">
      <c r="I659" s="3"/>
    </row>
    <row r="660" spans="9:9" ht="12.75" customHeight="1" x14ac:dyDescent="0.25">
      <c r="I660" s="3"/>
    </row>
    <row r="661" spans="9:9" ht="12.75" customHeight="1" x14ac:dyDescent="0.25">
      <c r="I661" s="3"/>
    </row>
    <row r="662" spans="9:9" ht="12.75" customHeight="1" x14ac:dyDescent="0.25">
      <c r="I662" s="3"/>
    </row>
    <row r="663" spans="9:9" ht="12.75" customHeight="1" x14ac:dyDescent="0.25">
      <c r="I663" s="3"/>
    </row>
    <row r="664" spans="9:9" ht="12.75" customHeight="1" x14ac:dyDescent="0.25">
      <c r="I664" s="3"/>
    </row>
    <row r="665" spans="9:9" ht="12.75" customHeight="1" x14ac:dyDescent="0.25">
      <c r="I665" s="3"/>
    </row>
    <row r="666" spans="9:9" ht="12.75" customHeight="1" x14ac:dyDescent="0.25">
      <c r="I666" s="3"/>
    </row>
    <row r="667" spans="9:9" ht="12.75" customHeight="1" x14ac:dyDescent="0.25">
      <c r="I667" s="3"/>
    </row>
    <row r="668" spans="9:9" ht="12.75" customHeight="1" x14ac:dyDescent="0.25">
      <c r="I668" s="3"/>
    </row>
    <row r="669" spans="9:9" ht="12.75" customHeight="1" x14ac:dyDescent="0.25">
      <c r="I669" s="3"/>
    </row>
    <row r="670" spans="9:9" ht="12.75" customHeight="1" x14ac:dyDescent="0.25">
      <c r="I670" s="3"/>
    </row>
    <row r="671" spans="9:9" ht="12.75" customHeight="1" x14ac:dyDescent="0.25">
      <c r="I671" s="3"/>
    </row>
    <row r="672" spans="9:9" ht="12.75" customHeight="1" x14ac:dyDescent="0.25">
      <c r="I672" s="3"/>
    </row>
    <row r="673" spans="9:9" ht="12.75" customHeight="1" x14ac:dyDescent="0.25">
      <c r="I673" s="3"/>
    </row>
    <row r="674" spans="9:9" ht="12.75" customHeight="1" x14ac:dyDescent="0.25">
      <c r="I674" s="3"/>
    </row>
    <row r="675" spans="9:9" ht="12.75" customHeight="1" x14ac:dyDescent="0.25">
      <c r="I675" s="3"/>
    </row>
    <row r="676" spans="9:9" ht="12.75" customHeight="1" x14ac:dyDescent="0.25">
      <c r="I676" s="3"/>
    </row>
    <row r="677" spans="9:9" ht="12.75" customHeight="1" x14ac:dyDescent="0.25">
      <c r="I677" s="3"/>
    </row>
    <row r="678" spans="9:9" ht="12.75" customHeight="1" x14ac:dyDescent="0.25">
      <c r="I678" s="3"/>
    </row>
    <row r="679" spans="9:9" ht="12.75" customHeight="1" x14ac:dyDescent="0.25">
      <c r="I679" s="3"/>
    </row>
    <row r="680" spans="9:9" ht="12.75" customHeight="1" x14ac:dyDescent="0.25">
      <c r="I680" s="3"/>
    </row>
    <row r="681" spans="9:9" ht="12.75" customHeight="1" x14ac:dyDescent="0.25">
      <c r="I681" s="3"/>
    </row>
    <row r="682" spans="9:9" ht="12.75" customHeight="1" x14ac:dyDescent="0.25">
      <c r="I682" s="3"/>
    </row>
    <row r="683" spans="9:9" ht="12.75" customHeight="1" x14ac:dyDescent="0.25">
      <c r="I683" s="3"/>
    </row>
    <row r="684" spans="9:9" ht="12.75" customHeight="1" x14ac:dyDescent="0.25">
      <c r="I684" s="3"/>
    </row>
    <row r="685" spans="9:9" ht="12.75" customHeight="1" x14ac:dyDescent="0.25">
      <c r="I685" s="3"/>
    </row>
    <row r="686" spans="9:9" ht="12.75" customHeight="1" x14ac:dyDescent="0.25">
      <c r="I686" s="3"/>
    </row>
    <row r="687" spans="9:9" ht="12.75" customHeight="1" x14ac:dyDescent="0.25">
      <c r="I687" s="3"/>
    </row>
    <row r="688" spans="9:9" ht="12.75" customHeight="1" x14ac:dyDescent="0.25">
      <c r="I688" s="3"/>
    </row>
    <row r="689" spans="9:9" ht="12.75" customHeight="1" x14ac:dyDescent="0.25">
      <c r="I689" s="3"/>
    </row>
    <row r="690" spans="9:9" ht="12.75" customHeight="1" x14ac:dyDescent="0.25">
      <c r="I690" s="3"/>
    </row>
    <row r="691" spans="9:9" ht="12.75" customHeight="1" x14ac:dyDescent="0.25">
      <c r="I691" s="3"/>
    </row>
    <row r="692" spans="9:9" ht="12.75" customHeight="1" x14ac:dyDescent="0.25">
      <c r="I692" s="3"/>
    </row>
    <row r="693" spans="9:9" ht="12.75" customHeight="1" x14ac:dyDescent="0.25">
      <c r="I693" s="3"/>
    </row>
    <row r="694" spans="9:9" ht="12.75" customHeight="1" x14ac:dyDescent="0.25">
      <c r="I694" s="3"/>
    </row>
    <row r="695" spans="9:9" ht="12.75" customHeight="1" x14ac:dyDescent="0.25">
      <c r="I695" s="3"/>
    </row>
    <row r="696" spans="9:9" ht="12.75" customHeight="1" x14ac:dyDescent="0.25">
      <c r="I696" s="3"/>
    </row>
    <row r="697" spans="9:9" ht="12.75" customHeight="1" x14ac:dyDescent="0.25">
      <c r="I697" s="3"/>
    </row>
    <row r="698" spans="9:9" ht="12.75" customHeight="1" x14ac:dyDescent="0.25">
      <c r="I698" s="3"/>
    </row>
    <row r="699" spans="9:9" ht="12.75" customHeight="1" x14ac:dyDescent="0.25">
      <c r="I699" s="3"/>
    </row>
    <row r="700" spans="9:9" ht="12.75" customHeight="1" x14ac:dyDescent="0.25">
      <c r="I700" s="3"/>
    </row>
    <row r="701" spans="9:9" ht="12.75" customHeight="1" x14ac:dyDescent="0.25">
      <c r="I701" s="3"/>
    </row>
    <row r="702" spans="9:9" ht="12.75" customHeight="1" x14ac:dyDescent="0.25">
      <c r="I702" s="3"/>
    </row>
    <row r="703" spans="9:9" ht="12.75" customHeight="1" x14ac:dyDescent="0.25">
      <c r="I703" s="3"/>
    </row>
    <row r="704" spans="9:9" ht="12.75" customHeight="1" x14ac:dyDescent="0.25">
      <c r="I704" s="3"/>
    </row>
    <row r="705" spans="9:9" ht="12.75" customHeight="1" x14ac:dyDescent="0.25">
      <c r="I705" s="3"/>
    </row>
    <row r="706" spans="9:9" ht="12.75" customHeight="1" x14ac:dyDescent="0.25">
      <c r="I706" s="3"/>
    </row>
    <row r="707" spans="9:9" ht="12.75" customHeight="1" x14ac:dyDescent="0.25">
      <c r="I707" s="3"/>
    </row>
    <row r="708" spans="9:9" ht="12.75" customHeight="1" x14ac:dyDescent="0.25">
      <c r="I708" s="3"/>
    </row>
    <row r="709" spans="9:9" ht="12.75" customHeight="1" x14ac:dyDescent="0.25">
      <c r="I709" s="3"/>
    </row>
    <row r="710" spans="9:9" ht="12.75" customHeight="1" x14ac:dyDescent="0.25">
      <c r="I710" s="3"/>
    </row>
    <row r="711" spans="9:9" ht="12.75" customHeight="1" x14ac:dyDescent="0.25">
      <c r="I711" s="3"/>
    </row>
    <row r="712" spans="9:9" ht="12.75" customHeight="1" x14ac:dyDescent="0.25">
      <c r="I712" s="3"/>
    </row>
    <row r="713" spans="9:9" ht="12.75" customHeight="1" x14ac:dyDescent="0.25">
      <c r="I713" s="3"/>
    </row>
    <row r="714" spans="9:9" ht="12.75" customHeight="1" x14ac:dyDescent="0.25">
      <c r="I714" s="3"/>
    </row>
    <row r="715" spans="9:9" ht="12.75" customHeight="1" x14ac:dyDescent="0.25">
      <c r="I715" s="3"/>
    </row>
    <row r="716" spans="9:9" ht="12.75" customHeight="1" x14ac:dyDescent="0.25">
      <c r="I716" s="3"/>
    </row>
    <row r="717" spans="9:9" ht="12.75" customHeight="1" x14ac:dyDescent="0.25">
      <c r="I717" s="3"/>
    </row>
    <row r="718" spans="9:9" ht="12.75" customHeight="1" x14ac:dyDescent="0.25">
      <c r="I718" s="3"/>
    </row>
    <row r="719" spans="9:9" ht="12.75" customHeight="1" x14ac:dyDescent="0.25">
      <c r="I719" s="3"/>
    </row>
    <row r="720" spans="9:9" ht="12.75" customHeight="1" x14ac:dyDescent="0.25">
      <c r="I720" s="3"/>
    </row>
    <row r="721" spans="9:9" ht="12.75" customHeight="1" x14ac:dyDescent="0.25">
      <c r="I721" s="3"/>
    </row>
    <row r="722" spans="9:9" ht="12.75" customHeight="1" x14ac:dyDescent="0.25">
      <c r="I722" s="3"/>
    </row>
    <row r="723" spans="9:9" ht="12.75" customHeight="1" x14ac:dyDescent="0.25">
      <c r="I723" s="3"/>
    </row>
    <row r="724" spans="9:9" ht="12.75" customHeight="1" x14ac:dyDescent="0.25">
      <c r="I724" s="3"/>
    </row>
    <row r="725" spans="9:9" ht="12.75" customHeight="1" x14ac:dyDescent="0.25">
      <c r="I725" s="3"/>
    </row>
    <row r="726" spans="9:9" ht="12.75" customHeight="1" x14ac:dyDescent="0.25">
      <c r="I726" s="3"/>
    </row>
    <row r="727" spans="9:9" ht="12.75" customHeight="1" x14ac:dyDescent="0.25">
      <c r="I727" s="3"/>
    </row>
    <row r="728" spans="9:9" ht="12.75" customHeight="1" x14ac:dyDescent="0.25">
      <c r="I728" s="3"/>
    </row>
    <row r="729" spans="9:9" ht="12.75" customHeight="1" x14ac:dyDescent="0.25">
      <c r="I729" s="3"/>
    </row>
    <row r="730" spans="9:9" ht="12.75" customHeight="1" x14ac:dyDescent="0.25">
      <c r="I730" s="3"/>
    </row>
    <row r="731" spans="9:9" ht="12.75" customHeight="1" x14ac:dyDescent="0.25">
      <c r="I731" s="3"/>
    </row>
    <row r="732" spans="9:9" ht="12.75" customHeight="1" x14ac:dyDescent="0.25">
      <c r="I732" s="3"/>
    </row>
    <row r="733" spans="9:9" ht="12.75" customHeight="1" x14ac:dyDescent="0.25">
      <c r="I733" s="3"/>
    </row>
    <row r="734" spans="9:9" ht="12.75" customHeight="1" x14ac:dyDescent="0.25">
      <c r="I734" s="3"/>
    </row>
    <row r="735" spans="9:9" ht="12.75" customHeight="1" x14ac:dyDescent="0.25">
      <c r="I735" s="3"/>
    </row>
    <row r="736" spans="9:9" ht="12.75" customHeight="1" x14ac:dyDescent="0.25">
      <c r="I736" s="3"/>
    </row>
    <row r="737" spans="9:9" ht="12.75" customHeight="1" x14ac:dyDescent="0.25">
      <c r="I737" s="3"/>
    </row>
    <row r="738" spans="9:9" ht="12.75" customHeight="1" x14ac:dyDescent="0.25">
      <c r="I738" s="3"/>
    </row>
    <row r="739" spans="9:9" ht="12.75" customHeight="1" x14ac:dyDescent="0.25">
      <c r="I739" s="3"/>
    </row>
    <row r="740" spans="9:9" ht="12.75" customHeight="1" x14ac:dyDescent="0.25">
      <c r="I740" s="3"/>
    </row>
    <row r="741" spans="9:9" ht="12.75" customHeight="1" x14ac:dyDescent="0.25">
      <c r="I741" s="3"/>
    </row>
    <row r="742" spans="9:9" ht="12.75" customHeight="1" x14ac:dyDescent="0.25">
      <c r="I742" s="3"/>
    </row>
    <row r="743" spans="9:9" ht="12.75" customHeight="1" x14ac:dyDescent="0.25">
      <c r="I743" s="3"/>
    </row>
    <row r="744" spans="9:9" ht="12.75" customHeight="1" x14ac:dyDescent="0.25">
      <c r="I744" s="3"/>
    </row>
    <row r="745" spans="9:9" ht="12.75" customHeight="1" x14ac:dyDescent="0.25">
      <c r="I745" s="3"/>
    </row>
    <row r="746" spans="9:9" ht="12.75" customHeight="1" x14ac:dyDescent="0.25">
      <c r="I746" s="3"/>
    </row>
    <row r="747" spans="9:9" ht="12.75" customHeight="1" x14ac:dyDescent="0.25">
      <c r="I747" s="3"/>
    </row>
    <row r="748" spans="9:9" ht="12.75" customHeight="1" x14ac:dyDescent="0.25">
      <c r="I748" s="3"/>
    </row>
    <row r="749" spans="9:9" ht="12.75" customHeight="1" x14ac:dyDescent="0.25">
      <c r="I749" s="3"/>
    </row>
    <row r="750" spans="9:9" ht="12.75" customHeight="1" x14ac:dyDescent="0.25">
      <c r="I750" s="3"/>
    </row>
    <row r="751" spans="9:9" ht="12.75" customHeight="1" x14ac:dyDescent="0.25">
      <c r="I751" s="3"/>
    </row>
    <row r="752" spans="9:9" ht="12.75" customHeight="1" x14ac:dyDescent="0.25">
      <c r="I752" s="3"/>
    </row>
    <row r="753" spans="9:9" ht="12.75" customHeight="1" x14ac:dyDescent="0.25">
      <c r="I753" s="3"/>
    </row>
    <row r="754" spans="9:9" ht="12.75" customHeight="1" x14ac:dyDescent="0.25">
      <c r="I754" s="3"/>
    </row>
    <row r="755" spans="9:9" ht="12.75" customHeight="1" x14ac:dyDescent="0.25">
      <c r="I755" s="3"/>
    </row>
    <row r="756" spans="9:9" ht="12.75" customHeight="1" x14ac:dyDescent="0.25">
      <c r="I756" s="3"/>
    </row>
    <row r="757" spans="9:9" ht="12.75" customHeight="1" x14ac:dyDescent="0.25">
      <c r="I757" s="3"/>
    </row>
    <row r="758" spans="9:9" ht="12.75" customHeight="1" x14ac:dyDescent="0.25">
      <c r="I758" s="3"/>
    </row>
    <row r="759" spans="9:9" ht="12.75" customHeight="1" x14ac:dyDescent="0.25">
      <c r="I759" s="3"/>
    </row>
    <row r="760" spans="9:9" ht="12.75" customHeight="1" x14ac:dyDescent="0.25">
      <c r="I760" s="3"/>
    </row>
    <row r="761" spans="9:9" ht="12.75" customHeight="1" x14ac:dyDescent="0.25">
      <c r="I761" s="3"/>
    </row>
    <row r="762" spans="9:9" ht="12.75" customHeight="1" x14ac:dyDescent="0.25">
      <c r="I762" s="3"/>
    </row>
    <row r="763" spans="9:9" ht="12.75" customHeight="1" x14ac:dyDescent="0.25">
      <c r="I763" s="3"/>
    </row>
    <row r="764" spans="9:9" ht="12.75" customHeight="1" x14ac:dyDescent="0.25">
      <c r="I764" s="3"/>
    </row>
    <row r="765" spans="9:9" ht="12.75" customHeight="1" x14ac:dyDescent="0.25">
      <c r="I765" s="3"/>
    </row>
    <row r="766" spans="9:9" ht="12.75" customHeight="1" x14ac:dyDescent="0.25">
      <c r="I766" s="3"/>
    </row>
    <row r="767" spans="9:9" ht="12.75" customHeight="1" x14ac:dyDescent="0.25">
      <c r="I767" s="3"/>
    </row>
    <row r="768" spans="9:9" ht="12.75" customHeight="1" x14ac:dyDescent="0.25">
      <c r="I768" s="3"/>
    </row>
    <row r="769" spans="9:9" ht="12.75" customHeight="1" x14ac:dyDescent="0.25">
      <c r="I769" s="3"/>
    </row>
    <row r="770" spans="9:9" ht="12.75" customHeight="1" x14ac:dyDescent="0.25">
      <c r="I770" s="3"/>
    </row>
    <row r="771" spans="9:9" ht="12.75" customHeight="1" x14ac:dyDescent="0.25">
      <c r="I771" s="3"/>
    </row>
    <row r="772" spans="9:9" ht="12.75" customHeight="1" x14ac:dyDescent="0.25">
      <c r="I772" s="3"/>
    </row>
    <row r="773" spans="9:9" ht="12.75" customHeight="1" x14ac:dyDescent="0.25">
      <c r="I773" s="3"/>
    </row>
    <row r="774" spans="9:9" ht="12.75" customHeight="1" x14ac:dyDescent="0.25">
      <c r="I774" s="3"/>
    </row>
    <row r="775" spans="9:9" ht="12.75" customHeight="1" x14ac:dyDescent="0.25">
      <c r="I775" s="3"/>
    </row>
    <row r="776" spans="9:9" ht="12.75" customHeight="1" x14ac:dyDescent="0.25">
      <c r="I776" s="3"/>
    </row>
    <row r="777" spans="9:9" ht="12.75" customHeight="1" x14ac:dyDescent="0.25">
      <c r="I777" s="3"/>
    </row>
    <row r="778" spans="9:9" ht="12.75" customHeight="1" x14ac:dyDescent="0.25">
      <c r="I778" s="3"/>
    </row>
    <row r="779" spans="9:9" ht="12.75" customHeight="1" x14ac:dyDescent="0.25">
      <c r="I779" s="3"/>
    </row>
    <row r="780" spans="9:9" ht="12.75" customHeight="1" x14ac:dyDescent="0.25">
      <c r="I780" s="3"/>
    </row>
    <row r="781" spans="9:9" ht="12.75" customHeight="1" x14ac:dyDescent="0.25">
      <c r="I781" s="3"/>
    </row>
    <row r="782" spans="9:9" ht="12.75" customHeight="1" x14ac:dyDescent="0.25">
      <c r="I782" s="3"/>
    </row>
    <row r="783" spans="9:9" ht="12.75" customHeight="1" x14ac:dyDescent="0.25">
      <c r="I783" s="3"/>
    </row>
    <row r="784" spans="9:9" ht="12.75" customHeight="1" x14ac:dyDescent="0.25">
      <c r="I784" s="3"/>
    </row>
    <row r="785" spans="9:9" ht="12.75" customHeight="1" x14ac:dyDescent="0.25">
      <c r="I785" s="3"/>
    </row>
    <row r="786" spans="9:9" ht="12.75" customHeight="1" x14ac:dyDescent="0.25">
      <c r="I786" s="3"/>
    </row>
    <row r="787" spans="9:9" ht="12.75" customHeight="1" x14ac:dyDescent="0.25">
      <c r="I787" s="3"/>
    </row>
    <row r="788" spans="9:9" ht="12.75" customHeight="1" x14ac:dyDescent="0.25">
      <c r="I788" s="3"/>
    </row>
    <row r="789" spans="9:9" ht="12.75" customHeight="1" x14ac:dyDescent="0.25">
      <c r="I789" s="3"/>
    </row>
    <row r="790" spans="9:9" ht="12.75" customHeight="1" x14ac:dyDescent="0.25">
      <c r="I790" s="3"/>
    </row>
    <row r="791" spans="9:9" ht="12.75" customHeight="1" x14ac:dyDescent="0.25">
      <c r="I791" s="3"/>
    </row>
    <row r="792" spans="9:9" ht="12.75" customHeight="1" x14ac:dyDescent="0.25">
      <c r="I792" s="3"/>
    </row>
    <row r="793" spans="9:9" ht="12.75" customHeight="1" x14ac:dyDescent="0.25">
      <c r="I793" s="3"/>
    </row>
    <row r="794" spans="9:9" ht="12.75" customHeight="1" x14ac:dyDescent="0.25">
      <c r="I794" s="3"/>
    </row>
    <row r="795" spans="9:9" ht="12.75" customHeight="1" x14ac:dyDescent="0.25">
      <c r="I795" s="3"/>
    </row>
    <row r="796" spans="9:9" ht="12.75" customHeight="1" x14ac:dyDescent="0.25">
      <c r="I796" s="3"/>
    </row>
    <row r="797" spans="9:9" ht="12.75" customHeight="1" x14ac:dyDescent="0.25">
      <c r="I797" s="3"/>
    </row>
    <row r="798" spans="9:9" ht="12.75" customHeight="1" x14ac:dyDescent="0.25">
      <c r="I798" s="3"/>
    </row>
    <row r="799" spans="9:9" ht="12.75" customHeight="1" x14ac:dyDescent="0.25">
      <c r="I799" s="3"/>
    </row>
    <row r="800" spans="9:9" ht="12.75" customHeight="1" x14ac:dyDescent="0.25">
      <c r="I800" s="3"/>
    </row>
    <row r="801" spans="9:9" ht="12.75" customHeight="1" x14ac:dyDescent="0.25">
      <c r="I801" s="3"/>
    </row>
    <row r="802" spans="9:9" ht="12.75" customHeight="1" x14ac:dyDescent="0.25">
      <c r="I802" s="3"/>
    </row>
    <row r="803" spans="9:9" ht="12.75" customHeight="1" x14ac:dyDescent="0.25">
      <c r="I803" s="3"/>
    </row>
    <row r="804" spans="9:9" ht="12.75" customHeight="1" x14ac:dyDescent="0.25">
      <c r="I804" s="3"/>
    </row>
    <row r="805" spans="9:9" ht="12.75" customHeight="1" x14ac:dyDescent="0.25">
      <c r="I805" s="3"/>
    </row>
    <row r="806" spans="9:9" ht="12.75" customHeight="1" x14ac:dyDescent="0.25">
      <c r="I806" s="3"/>
    </row>
    <row r="807" spans="9:9" ht="12.75" customHeight="1" x14ac:dyDescent="0.25">
      <c r="I807" s="3"/>
    </row>
    <row r="808" spans="9:9" ht="12.75" customHeight="1" x14ac:dyDescent="0.25">
      <c r="I808" s="3"/>
    </row>
    <row r="809" spans="9:9" ht="12.75" customHeight="1" x14ac:dyDescent="0.25">
      <c r="I809" s="3"/>
    </row>
    <row r="810" spans="9:9" ht="12.75" customHeight="1" x14ac:dyDescent="0.25">
      <c r="I810" s="3"/>
    </row>
    <row r="811" spans="9:9" ht="12.75" customHeight="1" x14ac:dyDescent="0.25">
      <c r="I811" s="3"/>
    </row>
    <row r="812" spans="9:9" ht="12.75" customHeight="1" x14ac:dyDescent="0.25">
      <c r="I812" s="3"/>
    </row>
    <row r="813" spans="9:9" ht="12.75" customHeight="1" x14ac:dyDescent="0.25">
      <c r="I813" s="3"/>
    </row>
    <row r="814" spans="9:9" ht="12.75" customHeight="1" x14ac:dyDescent="0.25">
      <c r="I814" s="3"/>
    </row>
    <row r="815" spans="9:9" ht="12.75" customHeight="1" x14ac:dyDescent="0.25">
      <c r="I815" s="3"/>
    </row>
    <row r="816" spans="9:9" ht="12.75" customHeight="1" x14ac:dyDescent="0.25">
      <c r="I816" s="3"/>
    </row>
    <row r="817" spans="9:9" ht="12.75" customHeight="1" x14ac:dyDescent="0.25">
      <c r="I817" s="3"/>
    </row>
    <row r="818" spans="9:9" ht="12.75" customHeight="1" x14ac:dyDescent="0.25">
      <c r="I818" s="3"/>
    </row>
    <row r="819" spans="9:9" ht="12.75" customHeight="1" x14ac:dyDescent="0.25">
      <c r="I819" s="3"/>
    </row>
    <row r="820" spans="9:9" ht="12.75" customHeight="1" x14ac:dyDescent="0.25">
      <c r="I820" s="3"/>
    </row>
    <row r="821" spans="9:9" ht="12.75" customHeight="1" x14ac:dyDescent="0.25">
      <c r="I821" s="3"/>
    </row>
    <row r="822" spans="9:9" ht="12.75" customHeight="1" x14ac:dyDescent="0.25">
      <c r="I822" s="3"/>
    </row>
    <row r="823" spans="9:9" ht="12.75" customHeight="1" x14ac:dyDescent="0.25">
      <c r="I823" s="3"/>
    </row>
    <row r="824" spans="9:9" ht="12.75" customHeight="1" x14ac:dyDescent="0.25">
      <c r="I824" s="3"/>
    </row>
    <row r="825" spans="9:9" ht="12.75" customHeight="1" x14ac:dyDescent="0.25">
      <c r="I825" s="3"/>
    </row>
    <row r="826" spans="9:9" ht="12.75" customHeight="1" x14ac:dyDescent="0.25">
      <c r="I826" s="3"/>
    </row>
    <row r="827" spans="9:9" ht="12.75" customHeight="1" x14ac:dyDescent="0.25">
      <c r="I827" s="3"/>
    </row>
    <row r="828" spans="9:9" ht="12.75" customHeight="1" x14ac:dyDescent="0.25">
      <c r="I828" s="3"/>
    </row>
    <row r="829" spans="9:9" ht="12.75" customHeight="1" x14ac:dyDescent="0.25">
      <c r="I829" s="3"/>
    </row>
    <row r="830" spans="9:9" ht="12.75" customHeight="1" x14ac:dyDescent="0.25">
      <c r="I830" s="3"/>
    </row>
    <row r="831" spans="9:9" ht="12.75" customHeight="1" x14ac:dyDescent="0.25">
      <c r="I831" s="3"/>
    </row>
    <row r="832" spans="9:9" ht="12.75" customHeight="1" x14ac:dyDescent="0.25">
      <c r="I832" s="3"/>
    </row>
    <row r="833" spans="9:9" ht="12.75" customHeight="1" x14ac:dyDescent="0.25">
      <c r="I833" s="3"/>
    </row>
    <row r="834" spans="9:9" ht="12.75" customHeight="1" x14ac:dyDescent="0.25">
      <c r="I834" s="3"/>
    </row>
    <row r="835" spans="9:9" ht="12.75" customHeight="1" x14ac:dyDescent="0.25">
      <c r="I835" s="3"/>
    </row>
    <row r="836" spans="9:9" ht="12.75" customHeight="1" x14ac:dyDescent="0.25">
      <c r="I836" s="3"/>
    </row>
    <row r="837" spans="9:9" ht="12.75" customHeight="1" x14ac:dyDescent="0.25">
      <c r="I837" s="3"/>
    </row>
    <row r="838" spans="9:9" ht="12.75" customHeight="1" x14ac:dyDescent="0.25">
      <c r="I838" s="3"/>
    </row>
    <row r="839" spans="9:9" ht="12.75" customHeight="1" x14ac:dyDescent="0.25">
      <c r="I839" s="3"/>
    </row>
    <row r="840" spans="9:9" ht="12.75" customHeight="1" x14ac:dyDescent="0.25">
      <c r="I840" s="3"/>
    </row>
    <row r="841" spans="9:9" ht="12.75" customHeight="1" x14ac:dyDescent="0.25">
      <c r="I841" s="3"/>
    </row>
    <row r="842" spans="9:9" ht="12.75" customHeight="1" x14ac:dyDescent="0.25">
      <c r="I842" s="3"/>
    </row>
    <row r="843" spans="9:9" ht="12.75" customHeight="1" x14ac:dyDescent="0.25">
      <c r="I843" s="3"/>
    </row>
    <row r="844" spans="9:9" ht="12.75" customHeight="1" x14ac:dyDescent="0.25">
      <c r="I844" s="3"/>
    </row>
    <row r="845" spans="9:9" ht="12.75" customHeight="1" x14ac:dyDescent="0.25">
      <c r="I845" s="3"/>
    </row>
    <row r="846" spans="9:9" ht="12.75" customHeight="1" x14ac:dyDescent="0.25">
      <c r="I846" s="3"/>
    </row>
    <row r="847" spans="9:9" ht="12.75" customHeight="1" x14ac:dyDescent="0.25">
      <c r="I847" s="3"/>
    </row>
    <row r="848" spans="9:9" ht="12.75" customHeight="1" x14ac:dyDescent="0.25">
      <c r="I848" s="3"/>
    </row>
    <row r="849" spans="9:9" ht="12.75" customHeight="1" x14ac:dyDescent="0.25">
      <c r="I849" s="3"/>
    </row>
    <row r="850" spans="9:9" ht="12.75" customHeight="1" x14ac:dyDescent="0.25">
      <c r="I850" s="3"/>
    </row>
    <row r="851" spans="9:9" ht="12.75" customHeight="1" x14ac:dyDescent="0.25">
      <c r="I851" s="3"/>
    </row>
    <row r="852" spans="9:9" ht="12.75" customHeight="1" x14ac:dyDescent="0.25">
      <c r="I852" s="3"/>
    </row>
    <row r="853" spans="9:9" ht="12.75" customHeight="1" x14ac:dyDescent="0.25">
      <c r="I853" s="3"/>
    </row>
    <row r="854" spans="9:9" ht="12.75" customHeight="1" x14ac:dyDescent="0.25">
      <c r="I854" s="3"/>
    </row>
    <row r="855" spans="9:9" ht="12.75" customHeight="1" x14ac:dyDescent="0.25">
      <c r="I855" s="3"/>
    </row>
    <row r="856" spans="9:9" ht="12.75" customHeight="1" x14ac:dyDescent="0.25">
      <c r="I856" s="3"/>
    </row>
    <row r="857" spans="9:9" ht="12.75" customHeight="1" x14ac:dyDescent="0.25">
      <c r="I857" s="3"/>
    </row>
    <row r="858" spans="9:9" ht="12.75" customHeight="1" x14ac:dyDescent="0.25">
      <c r="I858" s="3"/>
    </row>
    <row r="859" spans="9:9" ht="12.75" customHeight="1" x14ac:dyDescent="0.25">
      <c r="I859" s="3"/>
    </row>
    <row r="860" spans="9:9" ht="12.75" customHeight="1" x14ac:dyDescent="0.25">
      <c r="I860" s="3"/>
    </row>
    <row r="861" spans="9:9" ht="12.75" customHeight="1" x14ac:dyDescent="0.25">
      <c r="I861" s="3"/>
    </row>
    <row r="862" spans="9:9" ht="12.75" customHeight="1" x14ac:dyDescent="0.25">
      <c r="I862" s="3"/>
    </row>
    <row r="863" spans="9:9" ht="12.75" customHeight="1" x14ac:dyDescent="0.25">
      <c r="I863" s="3"/>
    </row>
    <row r="864" spans="9:9" ht="12.75" customHeight="1" x14ac:dyDescent="0.25">
      <c r="I864" s="3"/>
    </row>
    <row r="865" spans="9:9" ht="12.75" customHeight="1" x14ac:dyDescent="0.25">
      <c r="I865" s="3"/>
    </row>
    <row r="866" spans="9:9" ht="12.75" customHeight="1" x14ac:dyDescent="0.25">
      <c r="I866" s="3"/>
    </row>
    <row r="867" spans="9:9" ht="12.75" customHeight="1" x14ac:dyDescent="0.25">
      <c r="I867" s="3"/>
    </row>
    <row r="868" spans="9:9" ht="12.75" customHeight="1" x14ac:dyDescent="0.25">
      <c r="I868" s="3"/>
    </row>
    <row r="869" spans="9:9" ht="12.75" customHeight="1" x14ac:dyDescent="0.25">
      <c r="I869" s="3"/>
    </row>
    <row r="870" spans="9:9" ht="12.75" customHeight="1" x14ac:dyDescent="0.25">
      <c r="I870" s="3"/>
    </row>
    <row r="871" spans="9:9" ht="12.75" customHeight="1" x14ac:dyDescent="0.25">
      <c r="I871" s="3"/>
    </row>
    <row r="872" spans="9:9" ht="12.75" customHeight="1" x14ac:dyDescent="0.25">
      <c r="I872" s="3"/>
    </row>
    <row r="873" spans="9:9" ht="12.75" customHeight="1" x14ac:dyDescent="0.25">
      <c r="I873" s="3"/>
    </row>
    <row r="874" spans="9:9" ht="12.75" customHeight="1" x14ac:dyDescent="0.25">
      <c r="I874" s="3"/>
    </row>
    <row r="875" spans="9:9" ht="12.75" customHeight="1" x14ac:dyDescent="0.25">
      <c r="I875" s="3"/>
    </row>
    <row r="876" spans="9:9" ht="12.75" customHeight="1" x14ac:dyDescent="0.25">
      <c r="I876" s="3"/>
    </row>
    <row r="877" spans="9:9" ht="12.75" customHeight="1" x14ac:dyDescent="0.25">
      <c r="I877" s="3"/>
    </row>
    <row r="878" spans="9:9" ht="12.75" customHeight="1" x14ac:dyDescent="0.25">
      <c r="I878" s="3"/>
    </row>
    <row r="879" spans="9:9" ht="12.75" customHeight="1" x14ac:dyDescent="0.25">
      <c r="I879" s="3"/>
    </row>
    <row r="880" spans="9:9" ht="12.75" customHeight="1" x14ac:dyDescent="0.25">
      <c r="I880" s="3"/>
    </row>
    <row r="881" spans="9:9" ht="12.75" customHeight="1" x14ac:dyDescent="0.25">
      <c r="I881" s="3"/>
    </row>
    <row r="882" spans="9:9" ht="12.75" customHeight="1" x14ac:dyDescent="0.25">
      <c r="I882" s="3"/>
    </row>
    <row r="883" spans="9:9" ht="12.75" customHeight="1" x14ac:dyDescent="0.25">
      <c r="I883" s="3"/>
    </row>
    <row r="884" spans="9:9" ht="12.75" customHeight="1" x14ac:dyDescent="0.25">
      <c r="I884" s="3"/>
    </row>
    <row r="885" spans="9:9" ht="12.75" customHeight="1" x14ac:dyDescent="0.25">
      <c r="I885" s="3"/>
    </row>
    <row r="886" spans="9:9" ht="12.75" customHeight="1" x14ac:dyDescent="0.25">
      <c r="I886" s="3"/>
    </row>
    <row r="887" spans="9:9" ht="12.75" customHeight="1" x14ac:dyDescent="0.25">
      <c r="I887" s="3"/>
    </row>
    <row r="888" spans="9:9" ht="12.75" customHeight="1" x14ac:dyDescent="0.25">
      <c r="I888" s="3"/>
    </row>
    <row r="889" spans="9:9" ht="12.75" customHeight="1" x14ac:dyDescent="0.25">
      <c r="I889" s="3"/>
    </row>
    <row r="890" spans="9:9" ht="12.75" customHeight="1" x14ac:dyDescent="0.25">
      <c r="I890" s="3"/>
    </row>
    <row r="891" spans="9:9" ht="12.75" customHeight="1" x14ac:dyDescent="0.25">
      <c r="I891" s="3"/>
    </row>
    <row r="892" spans="9:9" ht="12.75" customHeight="1" x14ac:dyDescent="0.25">
      <c r="I892" s="3"/>
    </row>
    <row r="893" spans="9:9" ht="12.75" customHeight="1" x14ac:dyDescent="0.25">
      <c r="I893" s="3"/>
    </row>
    <row r="894" spans="9:9" ht="12.75" customHeight="1" x14ac:dyDescent="0.25">
      <c r="I894" s="3"/>
    </row>
    <row r="895" spans="9:9" ht="12.75" customHeight="1" x14ac:dyDescent="0.25">
      <c r="I895" s="3"/>
    </row>
    <row r="896" spans="9:9" ht="12.75" customHeight="1" x14ac:dyDescent="0.25">
      <c r="I896" s="3"/>
    </row>
    <row r="897" spans="9:9" ht="12.75" customHeight="1" x14ac:dyDescent="0.25">
      <c r="I897" s="3"/>
    </row>
    <row r="898" spans="9:9" ht="12.75" customHeight="1" x14ac:dyDescent="0.25">
      <c r="I898" s="3"/>
    </row>
    <row r="899" spans="9:9" ht="12.75" customHeight="1" x14ac:dyDescent="0.25">
      <c r="I899" s="3"/>
    </row>
    <row r="900" spans="9:9" ht="12.75" customHeight="1" x14ac:dyDescent="0.25">
      <c r="I900" s="3"/>
    </row>
    <row r="901" spans="9:9" ht="12.75" customHeight="1" x14ac:dyDescent="0.25">
      <c r="I901" s="3"/>
    </row>
    <row r="902" spans="9:9" ht="12.75" customHeight="1" x14ac:dyDescent="0.25">
      <c r="I902" s="3"/>
    </row>
    <row r="903" spans="9:9" ht="12.75" customHeight="1" x14ac:dyDescent="0.25">
      <c r="I903" s="3"/>
    </row>
    <row r="904" spans="9:9" ht="12.75" customHeight="1" x14ac:dyDescent="0.25">
      <c r="I904" s="3"/>
    </row>
    <row r="905" spans="9:9" ht="12.75" customHeight="1" x14ac:dyDescent="0.25">
      <c r="I905" s="3"/>
    </row>
    <row r="906" spans="9:9" ht="12.75" customHeight="1" x14ac:dyDescent="0.25">
      <c r="I906" s="3"/>
    </row>
    <row r="907" spans="9:9" ht="12.75" customHeight="1" x14ac:dyDescent="0.25">
      <c r="I907" s="3"/>
    </row>
    <row r="908" spans="9:9" ht="12.75" customHeight="1" x14ac:dyDescent="0.25">
      <c r="I908" s="3"/>
    </row>
    <row r="909" spans="9:9" ht="12.75" customHeight="1" x14ac:dyDescent="0.25">
      <c r="I909" s="3"/>
    </row>
    <row r="910" spans="9:9" ht="12.75" customHeight="1" x14ac:dyDescent="0.25">
      <c r="I910" s="3"/>
    </row>
    <row r="911" spans="9:9" ht="12.75" customHeight="1" x14ac:dyDescent="0.25">
      <c r="I911" s="3"/>
    </row>
    <row r="912" spans="9:9" ht="12.75" customHeight="1" x14ac:dyDescent="0.25">
      <c r="I912" s="3"/>
    </row>
    <row r="913" spans="9:9" ht="12.75" customHeight="1" x14ac:dyDescent="0.25">
      <c r="I913" s="3"/>
    </row>
    <row r="914" spans="9:9" ht="12.75" customHeight="1" x14ac:dyDescent="0.25">
      <c r="I914" s="3"/>
    </row>
    <row r="915" spans="9:9" ht="12.75" customHeight="1" x14ac:dyDescent="0.25">
      <c r="I915" s="3"/>
    </row>
    <row r="916" spans="9:9" ht="12.75" customHeight="1" x14ac:dyDescent="0.25">
      <c r="I916" s="3"/>
    </row>
    <row r="917" spans="9:9" ht="12.75" customHeight="1" x14ac:dyDescent="0.25">
      <c r="I917" s="3"/>
    </row>
    <row r="918" spans="9:9" ht="12.75" customHeight="1" x14ac:dyDescent="0.25">
      <c r="I918" s="3"/>
    </row>
    <row r="919" spans="9:9" ht="12.75" customHeight="1" x14ac:dyDescent="0.25">
      <c r="I919" s="3"/>
    </row>
    <row r="920" spans="9:9" ht="12.75" customHeight="1" x14ac:dyDescent="0.25">
      <c r="I920" s="3"/>
    </row>
    <row r="921" spans="9:9" ht="12.75" customHeight="1" x14ac:dyDescent="0.25">
      <c r="I921" s="3"/>
    </row>
    <row r="922" spans="9:9" ht="12.75" customHeight="1" x14ac:dyDescent="0.25">
      <c r="I922" s="3"/>
    </row>
    <row r="923" spans="9:9" ht="12.75" customHeight="1" x14ac:dyDescent="0.25">
      <c r="I923" s="3"/>
    </row>
    <row r="924" spans="9:9" ht="12.75" customHeight="1" x14ac:dyDescent="0.25">
      <c r="I924" s="3"/>
    </row>
    <row r="925" spans="9:9" ht="12.75" customHeight="1" x14ac:dyDescent="0.25">
      <c r="I925" s="3"/>
    </row>
    <row r="926" spans="9:9" ht="12.75" customHeight="1" x14ac:dyDescent="0.25">
      <c r="I926" s="3"/>
    </row>
    <row r="927" spans="9:9" ht="12.75" customHeight="1" x14ac:dyDescent="0.25">
      <c r="I927" s="3"/>
    </row>
    <row r="928" spans="9:9" ht="12.75" customHeight="1" x14ac:dyDescent="0.25">
      <c r="I928" s="3"/>
    </row>
    <row r="929" spans="9:9" ht="12.75" customHeight="1" x14ac:dyDescent="0.25">
      <c r="I929" s="3"/>
    </row>
    <row r="930" spans="9:9" ht="12.75" customHeight="1" x14ac:dyDescent="0.25">
      <c r="I930" s="3"/>
    </row>
    <row r="931" spans="9:9" ht="12.75" customHeight="1" x14ac:dyDescent="0.25">
      <c r="I931" s="3"/>
    </row>
    <row r="932" spans="9:9" ht="12.75" customHeight="1" x14ac:dyDescent="0.25">
      <c r="I932" s="3"/>
    </row>
    <row r="933" spans="9:9" ht="12.75" customHeight="1" x14ac:dyDescent="0.25">
      <c r="I933" s="3"/>
    </row>
    <row r="934" spans="9:9" ht="12.75" customHeight="1" x14ac:dyDescent="0.25">
      <c r="I934" s="3"/>
    </row>
    <row r="935" spans="9:9" ht="12.75" customHeight="1" x14ac:dyDescent="0.25">
      <c r="I935" s="3"/>
    </row>
    <row r="936" spans="9:9" ht="12.75" customHeight="1" x14ac:dyDescent="0.25">
      <c r="I936" s="3"/>
    </row>
    <row r="937" spans="9:9" ht="12.75" customHeight="1" x14ac:dyDescent="0.25">
      <c r="I937" s="3"/>
    </row>
    <row r="938" spans="9:9" ht="12.75" customHeight="1" x14ac:dyDescent="0.25">
      <c r="I938" s="3"/>
    </row>
    <row r="939" spans="9:9" ht="12.75" customHeight="1" x14ac:dyDescent="0.25">
      <c r="I939" s="3"/>
    </row>
    <row r="940" spans="9:9" ht="12.75" customHeight="1" x14ac:dyDescent="0.25">
      <c r="I940" s="3"/>
    </row>
    <row r="941" spans="9:9" ht="12.75" customHeight="1" x14ac:dyDescent="0.25">
      <c r="I941" s="3"/>
    </row>
    <row r="942" spans="9:9" ht="12.75" customHeight="1" x14ac:dyDescent="0.25">
      <c r="I942" s="3"/>
    </row>
    <row r="943" spans="9:9" ht="12.75" customHeight="1" x14ac:dyDescent="0.25">
      <c r="I943" s="3"/>
    </row>
    <row r="944" spans="9:9" ht="12.75" customHeight="1" x14ac:dyDescent="0.25">
      <c r="I944" s="3"/>
    </row>
    <row r="945" spans="9:9" ht="12.75" customHeight="1" x14ac:dyDescent="0.25">
      <c r="I945" s="3"/>
    </row>
    <row r="946" spans="9:9" ht="12.75" customHeight="1" x14ac:dyDescent="0.25">
      <c r="I946" s="3"/>
    </row>
    <row r="947" spans="9:9" ht="12.75" customHeight="1" x14ac:dyDescent="0.25">
      <c r="I947" s="3"/>
    </row>
    <row r="948" spans="9:9" ht="12.75" customHeight="1" x14ac:dyDescent="0.25">
      <c r="I948" s="3"/>
    </row>
    <row r="949" spans="9:9" ht="12.75" customHeight="1" x14ac:dyDescent="0.25">
      <c r="I949" s="3"/>
    </row>
    <row r="950" spans="9:9" ht="12.75" customHeight="1" x14ac:dyDescent="0.25">
      <c r="I950" s="3"/>
    </row>
    <row r="951" spans="9:9" ht="12.75" customHeight="1" x14ac:dyDescent="0.25">
      <c r="I951" s="3"/>
    </row>
    <row r="952" spans="9:9" ht="12.75" customHeight="1" x14ac:dyDescent="0.25">
      <c r="I952" s="3"/>
    </row>
    <row r="953" spans="9:9" ht="12.75" customHeight="1" x14ac:dyDescent="0.25">
      <c r="I953" s="3"/>
    </row>
    <row r="954" spans="9:9" ht="12.75" customHeight="1" x14ac:dyDescent="0.25">
      <c r="I954" s="3"/>
    </row>
    <row r="955" spans="9:9" ht="12.75" customHeight="1" x14ac:dyDescent="0.25">
      <c r="I955" s="3"/>
    </row>
    <row r="956" spans="9:9" ht="12.75" customHeight="1" x14ac:dyDescent="0.25">
      <c r="I956" s="3"/>
    </row>
    <row r="957" spans="9:9" ht="12.75" customHeight="1" x14ac:dyDescent="0.25">
      <c r="I957" s="3"/>
    </row>
    <row r="958" spans="9:9" ht="12.75" customHeight="1" x14ac:dyDescent="0.25">
      <c r="I958" s="3"/>
    </row>
    <row r="959" spans="9:9" ht="12.75" customHeight="1" x14ac:dyDescent="0.25">
      <c r="I959" s="3"/>
    </row>
    <row r="960" spans="9:9" ht="12.75" customHeight="1" x14ac:dyDescent="0.25">
      <c r="I960" s="3"/>
    </row>
    <row r="961" spans="9:9" ht="12.75" customHeight="1" x14ac:dyDescent="0.25">
      <c r="I961" s="3"/>
    </row>
    <row r="962" spans="9:9" ht="12.75" customHeight="1" x14ac:dyDescent="0.25">
      <c r="I962" s="3"/>
    </row>
    <row r="963" spans="9:9" ht="12.75" customHeight="1" x14ac:dyDescent="0.25">
      <c r="I963" s="3"/>
    </row>
    <row r="964" spans="9:9" ht="12.75" customHeight="1" x14ac:dyDescent="0.25">
      <c r="I964" s="3"/>
    </row>
    <row r="965" spans="9:9" ht="12.75" customHeight="1" x14ac:dyDescent="0.25">
      <c r="I965" s="3"/>
    </row>
    <row r="966" spans="9:9" ht="12.75" customHeight="1" x14ac:dyDescent="0.25">
      <c r="I966" s="3"/>
    </row>
    <row r="967" spans="9:9" ht="12.75" customHeight="1" x14ac:dyDescent="0.25">
      <c r="I967" s="3"/>
    </row>
    <row r="968" spans="9:9" ht="12.75" customHeight="1" x14ac:dyDescent="0.25">
      <c r="I968" s="3"/>
    </row>
    <row r="969" spans="9:9" ht="12.75" customHeight="1" x14ac:dyDescent="0.25">
      <c r="I969" s="3"/>
    </row>
    <row r="970" spans="9:9" ht="12.75" customHeight="1" x14ac:dyDescent="0.25">
      <c r="I970" s="3"/>
    </row>
    <row r="971" spans="9:9" ht="12.75" customHeight="1" x14ac:dyDescent="0.25">
      <c r="I971" s="3"/>
    </row>
    <row r="972" spans="9:9" ht="12.75" customHeight="1" x14ac:dyDescent="0.25">
      <c r="I972" s="3"/>
    </row>
    <row r="973" spans="9:9" ht="12.75" customHeight="1" x14ac:dyDescent="0.25">
      <c r="I973" s="3"/>
    </row>
    <row r="974" spans="9:9" ht="12.75" customHeight="1" x14ac:dyDescent="0.25">
      <c r="I974" s="3"/>
    </row>
    <row r="975" spans="9:9" ht="12.75" customHeight="1" x14ac:dyDescent="0.25">
      <c r="I975" s="3"/>
    </row>
    <row r="976" spans="9:9" ht="12.75" customHeight="1" x14ac:dyDescent="0.25">
      <c r="I976" s="3"/>
    </row>
    <row r="977" spans="9:9" ht="12.75" customHeight="1" x14ac:dyDescent="0.25">
      <c r="I977" s="3"/>
    </row>
    <row r="978" spans="9:9" ht="12.75" customHeight="1" x14ac:dyDescent="0.25">
      <c r="I978" s="3"/>
    </row>
    <row r="979" spans="9:9" ht="12.75" customHeight="1" x14ac:dyDescent="0.25">
      <c r="I979" s="3"/>
    </row>
    <row r="980" spans="9:9" ht="12.75" customHeight="1" x14ac:dyDescent="0.25">
      <c r="I980" s="3"/>
    </row>
    <row r="981" spans="9:9" ht="12.75" customHeight="1" x14ac:dyDescent="0.25">
      <c r="I981" s="3"/>
    </row>
    <row r="982" spans="9:9" ht="12.75" customHeight="1" x14ac:dyDescent="0.25">
      <c r="I982" s="3"/>
    </row>
    <row r="983" spans="9:9" ht="12.75" customHeight="1" x14ac:dyDescent="0.25">
      <c r="I983" s="3"/>
    </row>
    <row r="984" spans="9:9" ht="12.75" customHeight="1" x14ac:dyDescent="0.25">
      <c r="I984" s="3"/>
    </row>
    <row r="985" spans="9:9" ht="12.75" customHeight="1" x14ac:dyDescent="0.25">
      <c r="I985" s="3"/>
    </row>
    <row r="986" spans="9:9" ht="12.75" customHeight="1" x14ac:dyDescent="0.25">
      <c r="I986" s="3"/>
    </row>
    <row r="987" spans="9:9" ht="12.75" customHeight="1" x14ac:dyDescent="0.25">
      <c r="I987" s="3"/>
    </row>
    <row r="988" spans="9:9" ht="12.75" customHeight="1" x14ac:dyDescent="0.25">
      <c r="I988" s="3"/>
    </row>
    <row r="989" spans="9:9" ht="12.75" customHeight="1" x14ac:dyDescent="0.25">
      <c r="I989" s="3"/>
    </row>
    <row r="990" spans="9:9" ht="12.75" customHeight="1" x14ac:dyDescent="0.25">
      <c r="I990" s="3"/>
    </row>
    <row r="991" spans="9:9" ht="12.75" customHeight="1" x14ac:dyDescent="0.25">
      <c r="I991" s="3"/>
    </row>
    <row r="992" spans="9:9" ht="12.75" customHeight="1" x14ac:dyDescent="0.25">
      <c r="I992" s="3"/>
    </row>
    <row r="993" spans="9:9" ht="12.75" customHeight="1" x14ac:dyDescent="0.25">
      <c r="I993" s="3"/>
    </row>
    <row r="994" spans="9:9" ht="12.75" customHeight="1" x14ac:dyDescent="0.25">
      <c r="I994" s="3"/>
    </row>
    <row r="995" spans="9:9" ht="12.75" customHeight="1" x14ac:dyDescent="0.25">
      <c r="I995" s="3"/>
    </row>
    <row r="996" spans="9:9" ht="12.75" customHeight="1" x14ac:dyDescent="0.25">
      <c r="I996" s="3"/>
    </row>
    <row r="997" spans="9:9" ht="12.75" customHeight="1" x14ac:dyDescent="0.25">
      <c r="I997" s="3"/>
    </row>
    <row r="998" spans="9:9" ht="12.75" customHeight="1" x14ac:dyDescent="0.25">
      <c r="I998" s="3"/>
    </row>
  </sheetData>
  <mergeCells count="244">
    <mergeCell ref="AA96:AA102"/>
    <mergeCell ref="AB96:AB102"/>
    <mergeCell ref="N102:R102"/>
    <mergeCell ref="K96:K102"/>
    <mergeCell ref="L96:L100"/>
    <mergeCell ref="T96:T102"/>
    <mergeCell ref="U96:U102"/>
    <mergeCell ref="V96:V102"/>
    <mergeCell ref="W96:W102"/>
    <mergeCell ref="X96:X102"/>
    <mergeCell ref="Y96:Y102"/>
    <mergeCell ref="Z96:Z102"/>
    <mergeCell ref="B96:B102"/>
    <mergeCell ref="C96:C102"/>
    <mergeCell ref="D96:D102"/>
    <mergeCell ref="E96:E102"/>
    <mergeCell ref="F96:F102"/>
    <mergeCell ref="G96:G102"/>
    <mergeCell ref="H96:H102"/>
    <mergeCell ref="I96:I102"/>
    <mergeCell ref="J96:J102"/>
    <mergeCell ref="AA80:AA86"/>
    <mergeCell ref="AB80:AB86"/>
    <mergeCell ref="N86:R86"/>
    <mergeCell ref="B88:B94"/>
    <mergeCell ref="C88:C94"/>
    <mergeCell ref="D88:D94"/>
    <mergeCell ref="E88:E94"/>
    <mergeCell ref="F88:F94"/>
    <mergeCell ref="G88:G94"/>
    <mergeCell ref="H88:H94"/>
    <mergeCell ref="I88:I94"/>
    <mergeCell ref="J88:J94"/>
    <mergeCell ref="K88:K94"/>
    <mergeCell ref="L88:L92"/>
    <mergeCell ref="T88:T94"/>
    <mergeCell ref="U88:U94"/>
    <mergeCell ref="V88:V94"/>
    <mergeCell ref="W88:W94"/>
    <mergeCell ref="X88:X94"/>
    <mergeCell ref="Y88:Y94"/>
    <mergeCell ref="Z88:Z94"/>
    <mergeCell ref="AA88:AA94"/>
    <mergeCell ref="AB88:AB94"/>
    <mergeCell ref="N94:R94"/>
    <mergeCell ref="K80:K86"/>
    <mergeCell ref="L80:L84"/>
    <mergeCell ref="T80:T86"/>
    <mergeCell ref="U80:U86"/>
    <mergeCell ref="V80:V86"/>
    <mergeCell ref="W80:W86"/>
    <mergeCell ref="X80:X86"/>
    <mergeCell ref="Y80:Y86"/>
    <mergeCell ref="Z80:Z86"/>
    <mergeCell ref="B80:B86"/>
    <mergeCell ref="C80:C86"/>
    <mergeCell ref="D80:D86"/>
    <mergeCell ref="E80:E86"/>
    <mergeCell ref="F80:F86"/>
    <mergeCell ref="G80:G86"/>
    <mergeCell ref="H80:H86"/>
    <mergeCell ref="I80:I86"/>
    <mergeCell ref="J80:J86"/>
    <mergeCell ref="T72:T78"/>
    <mergeCell ref="U72:U78"/>
    <mergeCell ref="V72:V78"/>
    <mergeCell ref="W72:W78"/>
    <mergeCell ref="X72:X78"/>
    <mergeCell ref="Y72:Y78"/>
    <mergeCell ref="Z72:Z78"/>
    <mergeCell ref="AA72:AA78"/>
    <mergeCell ref="AB72:AB78"/>
    <mergeCell ref="B72:B78"/>
    <mergeCell ref="C72:C78"/>
    <mergeCell ref="D72:D78"/>
    <mergeCell ref="E72:E78"/>
    <mergeCell ref="F72:F78"/>
    <mergeCell ref="G72:G78"/>
    <mergeCell ref="H72:H78"/>
    <mergeCell ref="I72:I78"/>
    <mergeCell ref="J72:J78"/>
    <mergeCell ref="K72:K78"/>
    <mergeCell ref="L72:L76"/>
    <mergeCell ref="N78:R78"/>
    <mergeCell ref="Z64:Z70"/>
    <mergeCell ref="AA64:AA70"/>
    <mergeCell ref="AB64:AB70"/>
    <mergeCell ref="N70:R70"/>
    <mergeCell ref="AA56:AA62"/>
    <mergeCell ref="AB56:AB62"/>
    <mergeCell ref="N62:R62"/>
    <mergeCell ref="B64:B70"/>
    <mergeCell ref="C64:C70"/>
    <mergeCell ref="D64:D70"/>
    <mergeCell ref="E64:E70"/>
    <mergeCell ref="F64:F70"/>
    <mergeCell ref="G64:G70"/>
    <mergeCell ref="H64:H70"/>
    <mergeCell ref="I64:I70"/>
    <mergeCell ref="J64:J70"/>
    <mergeCell ref="K64:K70"/>
    <mergeCell ref="L64:L68"/>
    <mergeCell ref="T64:T70"/>
    <mergeCell ref="U64:U70"/>
    <mergeCell ref="V64:V70"/>
    <mergeCell ref="W64:W70"/>
    <mergeCell ref="X64:X70"/>
    <mergeCell ref="Y64:Y70"/>
    <mergeCell ref="K56:K62"/>
    <mergeCell ref="L56:L60"/>
    <mergeCell ref="T56:T62"/>
    <mergeCell ref="U56:U62"/>
    <mergeCell ref="V56:V62"/>
    <mergeCell ref="W56:W62"/>
    <mergeCell ref="X56:X62"/>
    <mergeCell ref="Y56:Y62"/>
    <mergeCell ref="Z56:Z62"/>
    <mergeCell ref="B56:B62"/>
    <mergeCell ref="C56:C62"/>
    <mergeCell ref="D56:D62"/>
    <mergeCell ref="E56:E62"/>
    <mergeCell ref="F56:F62"/>
    <mergeCell ref="G56:G62"/>
    <mergeCell ref="H56:H62"/>
    <mergeCell ref="I56:I62"/>
    <mergeCell ref="J56:J62"/>
    <mergeCell ref="B32:B38"/>
    <mergeCell ref="L48:L52"/>
    <mergeCell ref="S8:V8"/>
    <mergeCell ref="N38:R38"/>
    <mergeCell ref="C24:C30"/>
    <mergeCell ref="L32:L36"/>
    <mergeCell ref="F24:F30"/>
    <mergeCell ref="AB32:AB38"/>
    <mergeCell ref="AA24:AA30"/>
    <mergeCell ref="X32:X38"/>
    <mergeCell ref="L24:L28"/>
    <mergeCell ref="D16:D22"/>
    <mergeCell ref="H40:H46"/>
    <mergeCell ref="J40:J46"/>
    <mergeCell ref="AB16:AB22"/>
    <mergeCell ref="E16:E22"/>
    <mergeCell ref="E24:E30"/>
    <mergeCell ref="E32:E38"/>
    <mergeCell ref="E40:E46"/>
    <mergeCell ref="D3:E3"/>
    <mergeCell ref="D40:D46"/>
    <mergeCell ref="V48:V54"/>
    <mergeCell ref="F40:F46"/>
    <mergeCell ref="X48:X54"/>
    <mergeCell ref="Z32:Z38"/>
    <mergeCell ref="T40:T46"/>
    <mergeCell ref="W32:W38"/>
    <mergeCell ref="V40:V46"/>
    <mergeCell ref="AA48:AA54"/>
    <mergeCell ref="V24:V30"/>
    <mergeCell ref="X24:X30"/>
    <mergeCell ref="U32:U38"/>
    <mergeCell ref="U24:U30"/>
    <mergeCell ref="Y40:Y46"/>
    <mergeCell ref="I48:I54"/>
    <mergeCell ref="K48:K54"/>
    <mergeCell ref="T16:T22"/>
    <mergeCell ref="V16:V22"/>
    <mergeCell ref="N46:R46"/>
    <mergeCell ref="G40:G46"/>
    <mergeCell ref="I40:I46"/>
    <mergeCell ref="AA16:AA22"/>
    <mergeCell ref="C8:H8"/>
    <mergeCell ref="F48:F54"/>
    <mergeCell ref="H48:H54"/>
    <mergeCell ref="T48:T54"/>
    <mergeCell ref="K16:K22"/>
    <mergeCell ref="T32:T38"/>
    <mergeCell ref="C48:C54"/>
    <mergeCell ref="C32:C38"/>
    <mergeCell ref="E48:E54"/>
    <mergeCell ref="D2:E2"/>
    <mergeCell ref="J32:J38"/>
    <mergeCell ref="B24:B30"/>
    <mergeCell ref="V32:V38"/>
    <mergeCell ref="B16:B22"/>
    <mergeCell ref="X40:X46"/>
    <mergeCell ref="AA32:AA38"/>
    <mergeCell ref="Z40:Z46"/>
    <mergeCell ref="H24:H30"/>
    <mergeCell ref="S15:T15"/>
    <mergeCell ref="L16:L20"/>
    <mergeCell ref="Z24:Z30"/>
    <mergeCell ref="T24:T30"/>
    <mergeCell ref="L15:R15"/>
    <mergeCell ref="Y24:Y30"/>
    <mergeCell ref="K32:K38"/>
    <mergeCell ref="F16:F22"/>
    <mergeCell ref="X16:X22"/>
    <mergeCell ref="Z16:Z22"/>
    <mergeCell ref="I16:I22"/>
    <mergeCell ref="C16:C22"/>
    <mergeCell ref="I32:I38"/>
    <mergeCell ref="D4:E4"/>
    <mergeCell ref="U40:U46"/>
    <mergeCell ref="W40:W46"/>
    <mergeCell ref="N30:R30"/>
    <mergeCell ref="W24:W30"/>
    <mergeCell ref="C7:AB7"/>
    <mergeCell ref="AA40:AA46"/>
    <mergeCell ref="F32:F38"/>
    <mergeCell ref="U16:U22"/>
    <mergeCell ref="D32:D38"/>
    <mergeCell ref="J16:J22"/>
    <mergeCell ref="D24:D30"/>
    <mergeCell ref="Z8:AB8"/>
    <mergeCell ref="L40:L44"/>
    <mergeCell ref="AB24:AB30"/>
    <mergeCell ref="W16:W22"/>
    <mergeCell ref="K40:K46"/>
    <mergeCell ref="C40:C46"/>
    <mergeCell ref="L9:R9"/>
    <mergeCell ref="G24:G30"/>
    <mergeCell ref="N22:R22"/>
    <mergeCell ref="Y16:Y22"/>
    <mergeCell ref="AB40:AB46"/>
    <mergeCell ref="I8:R8"/>
    <mergeCell ref="J24:J30"/>
    <mergeCell ref="H32:H38"/>
    <mergeCell ref="I24:I30"/>
    <mergeCell ref="H16:H22"/>
    <mergeCell ref="G32:G38"/>
    <mergeCell ref="B7:B9"/>
    <mergeCell ref="G16:G22"/>
    <mergeCell ref="W8:Y8"/>
    <mergeCell ref="W48:W54"/>
    <mergeCell ref="K24:K30"/>
    <mergeCell ref="Y48:Y54"/>
    <mergeCell ref="Y32:Y38"/>
    <mergeCell ref="B48:B54"/>
    <mergeCell ref="D48:D54"/>
    <mergeCell ref="N54:R54"/>
    <mergeCell ref="Z48:Z54"/>
    <mergeCell ref="AB48:AB54"/>
    <mergeCell ref="B40:B46"/>
    <mergeCell ref="J48:J54"/>
    <mergeCell ref="G48:G54"/>
    <mergeCell ref="U48:U54"/>
  </mergeCells>
  <phoneticPr fontId="9" type="noConversion"/>
  <dataValidations count="40">
    <dataValidation allowBlank="1" showInputMessage="1" showErrorMessage="1" promptTitle="Threat/Opportunity Event" prompt="Summary explanation of the risk" sqref="G16:G18 G24:G26 G32:G34 G40:G42 G48:G50 G56:G58 G64:G66 G72:G74 G80:G82 G88:G90 G96:G98" xr:uid="{00000000-0002-0000-0000-000000000000}">
      <formula1>0</formula1>
      <formula2>0</formula2>
    </dataValidation>
    <dataValidation type="list" allowBlank="1" showInputMessage="1" showErrorMessage="1" promptTitle="Probability" prompt="Assessment of the liklihood of occurence" sqref="J23 J31 J39 J47 J55 J95 J63 J71 J79 J87 J103" xr:uid="{00000000-0002-0000-0000-000001000000}">
      <formula1>$J$10:$J$13</formula1>
      <formula2>0</formula2>
    </dataValidation>
    <dataValidation type="list" allowBlank="1" showInputMessage="1" showErrorMessage="1" promptTitle="Impact" prompt="The severity of the risk's effect on the project objectives" sqref="K23:M23 K31:M31 K39:M39 K47:M47 K55:M55 K95:M95 K63:M63 K71:M71 K79:M79 K87:M87 K103:M103" xr:uid="{00000000-0002-0000-0000-000002000000}">
      <formula1>$K$10:$K$13</formula1>
      <formula2>0</formula2>
    </dataValidation>
    <dataValidation allowBlank="1" showErrorMessage="1" promptTitle="Impact" prompt="The severity of the risk's effect on the project objectives" sqref="L22:M22 L30:M30 L38:M38 L46:M46 L54:M54 L62:M62 L70:M70 L78:M78 L86:M86 L94:M94 L102:M102" xr:uid="{00000000-0002-0000-0000-000003000000}">
      <formula1>0</formula1>
      <formula2>0</formula2>
    </dataValidation>
    <dataValidation type="list" allowBlank="1" showInputMessage="1" showErrorMessage="1" promptTitle="Risk Status" prompt="This is the current status of the risk element_x000a__x000a_Active = Risk is being actively monitored and controlled_x000a__x000a_Dormant = Risk is not currently a high priority, but may become active in the future_x000a__x000a_Retired = Risk is no longer a threat to project objectives_x000a_" sqref="C24:C30 C32:C38 C40:C46 C48:C54 C16 C56:C62 C64:C70 C72:C78 C80:C86 C88:C94 C96:C102" xr:uid="{00000000-0002-0000-0000-000005000000}">
      <formula1>$C$10:$C$12</formula1>
      <formula2>0</formula2>
    </dataValidation>
    <dataValidation allowBlank="1" showInputMessage="1" showErrorMessage="1" promptTitle="Date Identified" prompt="Date that the risk is identified" sqref="E40 E24 E48 E32 E56 E64 E72 E80 E88 E96" xr:uid="{00000000-0002-0000-0000-000006000000}">
      <formula1>0</formula1>
      <formula2>0</formula2>
    </dataValidation>
    <dataValidation type="whole" allowBlank="1" showInputMessage="1" showErrorMessage="1" promptTitle="Priority" prompt="Priority number assigned by the project development team to the risk.  _x000a__x000a_Valid entries are 0 to 100" sqref="B16:B22 B24:B30 B32:B38 B40:B46 B48:B54 B56:B62 B64:B70 B72:B78 B80:B86 B88:B94 B96:B102" xr:uid="{00000000-0002-0000-0000-000008000000}">
      <formula1>0</formula1>
      <formula2>100</formula2>
    </dataValidation>
    <dataValidation type="list" allowBlank="1" showInputMessage="1" showErrorMessage="1" promptTitle="Type" prompt="Major impact area for the risk._x000a__x000a_Valid entries are Cost, Scope, Schedule or Quality" sqref="I16:I22 I24:I30 I32:I38 I40:I46 I48:I54 I56:I62 I64:I70 I72:I78 I80:I86 I88:I94 I96:I102" xr:uid="{00000000-0002-0000-0000-000009000000}">
      <formula1>$I$10:$I$14</formula1>
      <formula2>0</formula2>
    </dataValidation>
    <dataValidation type="list" allowBlank="1" showInputMessage="1" showErrorMessage="1" promptTitle="Probability" prompt="Assessment of the likelihood of occurence_x000a__x000a_Valid entries are Very Low, Low, Moderate, High and Very High_x000a__x000a__x000a_" sqref="J16:J22 J24:J30 J32:J38 J40:J46 J48:J54 J56:J62 J64:J70 J72:J78 J80:J86 J88:J94 J96:J102" xr:uid="{00000000-0002-0000-0000-00000A000000}">
      <formula1>$J$10:$J$14</formula1>
      <formula2>0</formula2>
    </dataValidation>
    <dataValidation type="list" allowBlank="1" showInputMessage="1" showErrorMessage="1" promptTitle="Impact" prompt="The severity of the risk's effect on the project objectives._x000a__x000a_Valid entries are very low, low, moderate, high and very high." sqref="K16:K22 K24:K30 K32:K38 K40:K46 K48:K54 K56:K62 K64:K70 K72:K78 K80:K86 K88:K94 K96:K102" xr:uid="{00000000-0002-0000-0000-00000B000000}">
      <formula1>$K$10:$K$14</formula1>
      <formula2>0</formula2>
    </dataValidation>
    <dataValidation allowBlank="1" showInputMessage="1" showErrorMessage="1" promptTitle="Very Low Impact" prompt="Impact of this risk is very low_x000a__x000a_Insignificant cost increase or schedule slippage.  _x000a__x000a_Scope change or quality degradation barely noticeable. " sqref="N21 N29 N37 N45 N53 N61 N69 N77 N85 N93 N101" xr:uid="{00000000-0002-0000-0000-00000C000000}">
      <formula1>0</formula1>
      <formula2>0</formula2>
    </dataValidation>
    <dataValidation allowBlank="1" showInputMessage="1" showErrorMessage="1" promptTitle="Low Impact" prompt="Impact of this risk is low._x000a__x000a_Less than 5% cost increase or schedule slippage.  _x000a__x000a_Minor areas of scope affected" sqref="O21 O29 O37 O45 O53 O61 O69 O77 O85 O93 O101" xr:uid="{00000000-0002-0000-0000-00000D000000}">
      <formula1>0</formula1>
      <formula2>0</formula2>
    </dataValidation>
    <dataValidation allowBlank="1" showInputMessage="1" showErrorMessage="1" promptTitle="Moderate impact" prompt="The impact of this risk is moderate._x000a__x000a_5 to 10% cost increase or schedule slippage._x000a__x000a_Major areas of scope affected._x000a__x000a_Quality reduction requires sponsor approval." sqref="P21 P29 P37 P45 P53 P61 P69 P77 P85 P93 P101" xr:uid="{00000000-0002-0000-0000-00000E000000}">
      <formula1>0</formula1>
      <formula2>0</formula2>
    </dataValidation>
    <dataValidation allowBlank="1" showInputMessage="1" showErrorMessage="1" promptTitle="High Impact" prompt="The impact of this risk is hige._x000a__x000a_10 to 20% cost increase or schedule slippage._x000a__x000a_Scope and quality reduction and unacceptable to the sponsor._x000a__x000a_" sqref="Q21 Q29 Q37 Q45 Q53 Q61 Q69 Q77 Q85 Q93 Q101" xr:uid="{00000000-0002-0000-0000-00000F000000}">
      <formula1>0</formula1>
      <formula2>0</formula2>
    </dataValidation>
    <dataValidation allowBlank="1" showInputMessage="1" showErrorMessage="1" promptTitle="Very High Impact" prompt="Impact of this risk is very high._x000a__x000a_Cost increase and schedule delay greater than 20%._x000a__x000a_Project end item is effectively useless and unuseable." sqref="R21 R29 R37 R45 R53 R61 R69 R77 R85 R93 R101" xr:uid="{00000000-0002-0000-0000-000010000000}">
      <formula1>0</formula1>
      <formula2>0</formula2>
    </dataValidation>
    <dataValidation allowBlank="1" showInputMessage="1" showErrorMessage="1" promptTitle="Probability Percentage (%)" prompt="This cell automatically entered based on assessment of probability from qualitative analysis._x000a__x000a_Very Low = 10%, Low = 30%, Moderate = 50%, High = 70% and Very High = 90%" sqref="T16:T22 T24:T30 T32:T38 T40:T46 T48:T54 T56:T62 T64:T70 T72:T78 T80:T86 T88:T94 T96:T102" xr:uid="{00000000-0002-0000-0000-000011000000}">
      <formula1>0</formula1>
      <formula2>0</formula2>
    </dataValidation>
    <dataValidation allowBlank="1" showInputMessage="1" showErrorMessage="1" promptTitle="Impact" prompt="Assessment of the impact of the risk in either dollars or days._x000a_" sqref="U16:U22 U24:U30 U32:U38 U40:U46 U48:U54 U56:U62 U64:U70 U72:U78 U80:U86 U88:U94 U96:U102" xr:uid="{00000000-0002-0000-0000-000012000000}">
      <formula1>0</formula1>
      <formula2>0</formula2>
    </dataValidation>
    <dataValidation type="list" allowBlank="1" showInputMessage="1" showErrorMessage="1" promptTitle="Strategy" prompt="The strategy that is most likely to be effective for each risk._x000a__x000a_Valid entries are Acceptance, Mitigation, Transference or Avoidance." sqref="W16:W22 W24:W30 W32:W38" xr:uid="{00000000-0002-0000-0000-000013000000}">
      <formula1>$W$10:$W$14</formula1>
      <formula2>0</formula2>
    </dataValidation>
    <dataValidation allowBlank="1" showInputMessage="1" showErrorMessage="1" promptTitle="Response Action" prompt="The detailed response action to be taken." sqref="X16:X22 X24:X30 X32:X38 X48:X54 X56:X62 X64:X70 X72:X78 X80:X86 X88:X94 X96:X102" xr:uid="{00000000-0002-0000-0000-000014000000}">
      <formula1>0</formula1>
      <formula2>0</formula2>
    </dataValidation>
    <dataValidation allowBlank="1" showInputMessage="1" showErrorMessage="1" promptTitle="Responsibility" prompt="Name of manager responsible for this risk" sqref="Z16:Z22 Z24:Z30 Z32:Z38 Z40:Z46 Z48:Z54 Z56:Z62 Z64:Z70 Z72:Z78 Z80:Z86 Z88:Z94 Z96:Z102" xr:uid="{00000000-0002-0000-0000-000015000000}">
      <formula1>0</formula1>
      <formula2>0</formula2>
    </dataValidation>
    <dataValidation allowBlank="1" showInputMessage="1" showErrorMessage="1" promptTitle="Functional Assignment" prompt="Capital delivery function (design, r/w, environmental, engineering services, construction, planning, etc.)" sqref="F48:F54 F24:F30 F32:F38 F40:F46 F16 F56:F62 F64:F70 F72:F78 F80:F86 F88:F94 F96:F102" xr:uid="{00000000-0002-0000-0000-000016000000}">
      <formula1>0</formula1>
      <formula2>0</formula2>
    </dataValidation>
    <dataValidation allowBlank="1" showInputMessage="1" showErrorMessage="1" promptTitle="Very High Probability" prompt="Probability that this risk will occur is very high.  Percentage assigned to the very high rate is 90%." sqref="M16 M24 M32 M40 M48 M56 M64 M72 M80 M88 M96" xr:uid="{00000000-0002-0000-0000-000017000000}">
      <formula1>0</formula1>
      <formula2>0</formula2>
    </dataValidation>
    <dataValidation allowBlank="1" showInputMessage="1" showErrorMessage="1" promptTitle="High Probability" prompt="Probability that this risk will occur is high.  Percentage assigned to the high rate is 70%." sqref="M17 M25 M33 M41 M49 M57 M65 M73 M81 M89 M97" xr:uid="{00000000-0002-0000-0000-000018000000}">
      <formula1>0</formula1>
      <formula2>0</formula2>
    </dataValidation>
    <dataValidation allowBlank="1" showInputMessage="1" showErrorMessage="1" promptTitle="Moderate Probability" prompt="Probability that this risk will occur is moderate.  Percentage assigned to the very high rate is 50%." sqref="M18 M26 M34 M42 M50 M58 M66 M74 M82 M90 M98" xr:uid="{00000000-0002-0000-0000-000019000000}">
      <formula1>0</formula1>
      <formula2>0</formula2>
    </dataValidation>
    <dataValidation allowBlank="1" showInputMessage="1" showErrorMessage="1" promptTitle="Low Probability" prompt="Probability that this risk will occur is low.  Percentage assigned to the very high rate is 30%." sqref="M19 M27 M35 M43 M51 M59 M67 M75 M83 M91 M99" xr:uid="{00000000-0002-0000-0000-00001A000000}">
      <formula1>0</formula1>
      <formula2>0</formula2>
    </dataValidation>
    <dataValidation allowBlank="1" showInputMessage="1" showErrorMessage="1" promptTitle="Very Low Probability" prompt="Probability that this risk will occur is very low.  Percentage assigned to the very low rate is 10%." sqref="M20 M28 M36 M44 M52 M60 M68 M76 M84 M92 M100" xr:uid="{00000000-0002-0000-0000-00001B000000}">
      <formula1>0</formula1>
      <formula2>0</formula2>
    </dataValidation>
    <dataValidation allowBlank="1" showInputMessage="1" showErrorMessage="1" promptTitle="Effect ($ or days)" prompt="Effect is the product of probability times impact" sqref="V16:V22" xr:uid="{00000000-0002-0000-0000-00001C000000}">
      <formula1>0</formula1>
      <formula2>0</formula2>
    </dataValidation>
    <dataValidation allowBlank="1" showInputMessage="1" showErrorMessage="1" promptTitle="ID #" prompt="Unique identifier for this risk assigned by the team for tracking purposes._x000a__x000a_Valid entries are alpha, numeric or combination of both. " sqref="D48:D54 D24:D30 D32:D38 D40:D46 D16 D56:D62 D64:D70 D72:D78 D80:D86 D88:D94 D96:D102" xr:uid="{00000000-0002-0000-0000-00001D000000}">
      <formula1>0</formula1>
      <formula2>0</formula2>
    </dataValidation>
    <dataValidation allowBlank="1" showInputMessage="1" showErrorMessage="1" promptTitle="Dist - E.A." prompt="District and project expenditure authorization" sqref="D2:F2" xr:uid="{00000000-0002-0000-0000-00001E000000}">
      <formula1>0</formula1>
      <formula2>0</formula2>
    </dataValidation>
    <dataValidation allowBlank="1" showInputMessage="1" showErrorMessage="1" promptTitle="Co - Rte PM" prompt="County, Route and Post Mile for the project" sqref="D3:F3" xr:uid="{00000000-0002-0000-0000-00001F000000}">
      <formula1>0</formula1>
      <formula2>0</formula2>
    </dataValidation>
    <dataValidation allowBlank="1" showInputMessage="1" showErrorMessage="1" promptTitle="Last Update" prompt="Date of last update for the Risk Management Plan" sqref="D4:F4 D5" xr:uid="{00000000-0002-0000-0000-000020000000}">
      <formula1>0</formula1>
      <formula2>0</formula2>
    </dataValidation>
    <dataValidation allowBlank="1" showInputMessage="1" showErrorMessage="1" promptTitle="Qualitative Analysis" prompt="Qualitative Risk Analysis is the process of assessing the impact and likelihood of identified Risks.  This process prioritizes risks according to their potential effect on project objectives" sqref="I8:R8" xr:uid="{00000000-0002-0000-0000-000021000000}">
      <formula1>0</formula1>
      <formula2>0</formula2>
    </dataValidation>
    <dataValidation allowBlank="1" showInputMessage="1" showErrorMessage="1" promptTitle="Quantitative Analysis" prompt="The objective of quantitative risk analysis is to analyze numerically the probability of each risk and its consequence on project objectives, as well as the extent of overall project risk." sqref="S8" xr:uid="{00000000-0002-0000-0000-000022000000}">
      <formula1>0</formula1>
      <formula2>0</formula2>
    </dataValidation>
    <dataValidation allowBlank="1" showInputMessage="1" showErrorMessage="1" promptTitle="Response Planning" prompt="Risk response planning is the process of developing options and determining actions to enhance opportunities and reduce threats to the project's objectives." sqref="W8:Y8" xr:uid="{00000000-0002-0000-0000-000023000000}">
      <formula1>0</formula1>
      <formula2>0</formula2>
    </dataValidation>
    <dataValidation allowBlank="1" showInputMessage="1" showErrorMessage="1" promptTitle="Monitoring and Control" prompt="Risk monitoring and control is the process of keeping track of the identified risks, monitoring residual risks and identifying new risks, ensuring the execution of risk plans, and evaluating their effectiveness in reducing risks." sqref="Z8:AB8" xr:uid="{00000000-0002-0000-0000-000024000000}">
      <formula1>0</formula1>
      <formula2>0</formula2>
    </dataValidation>
    <dataValidation allowBlank="1" showErrorMessage="1" sqref="E5:F5" xr:uid="{00000000-0002-0000-0000-000025000000}">
      <formula1>0</formula1>
      <formula2>0</formula2>
    </dataValidation>
    <dataValidation allowBlank="1" showErrorMessage="1" promptTitle="Last Update" prompt="Date of last update for the Risk Management Plan" sqref="D6:F6" xr:uid="{00000000-0002-0000-0000-000026000000}">
      <formula1>0</formula1>
      <formula2>0</formula2>
    </dataValidation>
    <dataValidation allowBlank="1" showInputMessage="1" showErrorMessage="1" promptTitle="SMART Column" prompt="Detailed description of the risk.  Includes information on the risk that is Specific, Measureable, Achievable, Realistic and Time-sensitive." sqref="H16:H22 H24:H30 H32:H38 H40:H46 H48:H54 H56:H62 H64:H70 H72:H78 H80:H86 H88:H94 H96:H102" xr:uid="{00000000-0002-0000-0000-000027000000}">
      <formula1>0</formula1>
      <formula2>0</formula2>
    </dataValidation>
    <dataValidation allowBlank="1" showInputMessage="1" showErrorMessage="1" promptTitle="Identification" prompt="Risk Identification involves determining which risks might affect the project and documenting their characteristics" sqref="C8:H8" xr:uid="{00000000-0002-0000-0000-000028000000}">
      <formula1>0</formula1>
      <formula2>0</formula2>
    </dataValidation>
    <dataValidation allowBlank="1" showInputMessage="1" showErrorMessage="1" promptTitle="Risk Management" prompt="Risk Management is the systematic process of identifying, analyzing, and responding to project risks.  It includes maximizing the probability of positive events and minimizing the probability and consequence of adverse events to project objectives." sqref="C7:AB7" xr:uid="{00000000-0002-0000-0000-000029000000}">
      <formula1>0</formula1>
      <formula2>0</formula2>
    </dataValidation>
  </dataValidations>
  <pageMargins left="0.75" right="0.75" top="1" bottom="1" header="0.5" footer="0.511811023622047"/>
  <pageSetup paperSize="3" orientation="landscape" horizontalDpi="300" verticalDpi="300"/>
  <headerFooter>
    <oddHeader>&amp;R&amp;"Arial,Bold"&amp;20 PROJECT RISK MANAGEMENT PLAN</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Risk Management Plan</vt:lpstr>
      <vt:lpstr>'Risk Management Plan'!Print_Area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rguevel</dc:creator>
  <cp:lastModifiedBy>X_HARETH _X</cp:lastModifiedBy>
  <cp:revision>0</cp:revision>
  <cp:lastPrinted>2003-10-06T00:37:02Z</cp:lastPrinted>
  <dcterms:created xsi:type="dcterms:W3CDTF">2003-02-07T18:06:58Z</dcterms:created>
  <dcterms:modified xsi:type="dcterms:W3CDTF">2026-01-01T20:21:42Z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foData1">
    <vt:lpwstr>KABMAGEAbgBnAHUAYQBnAGUAPQBlAG4AdQB8AEwAZQB2AGUAbAA9ADAAfABEAGEAdABlAD0AMgAwADEANQAxADAAMgA0AHwATwB3AG4AZQByAD0ATQBvAGgAbwByAGEALAAgAEEAbgBjAGEALAAgAFYAbwBkAGEAZgBvAG4AZQAgAFIAbwBtAGEAbgBpAGEAfABIAGEA</vt:lpwstr>
  </property>
  <property fmtid="{D5CDD505-2E9C-101B-9397-08002B2CF9AE}" pid="3" name="DocInfoData2">
    <vt:lpwstr>cwBSAGUAYwBsAGEAcwBzAGkAZgA9AEYAYQBsAHMAZQB8AE4AZQB3AEwAZQB2AGUAbAA9ADEAfABOAGUAdwBFAHYAZQBuAHQAPQB8AFAAbwBzAGkAdABpAG8AbgA9ADEAMwB8AE0AYQByAGcAaQBuAD0ANwAwAHwAUAByAGkAbgB0AFAAbwBzAGkAdABpAG8AbgA9ADEA</vt:lpwstr>
  </property>
  <property fmtid="{D5CDD505-2E9C-101B-9397-08002B2CF9AE}" pid="4" name="DocInfoData3">
    <vt:lpwstr>MQB8AFAAcgBpAG4AdABGAGwAYQBnAHMAPQBOAFkAWQB8AFUAcwBlAFIAZQBjAGkAcABpAGUAbgB0AHMAPQBGAGEAbABzAGUAfABVAHMAZQBXAGEAdABlAHIATQBhAHIAawA9AEYAYQBsAHMAZQB8AFcAYQB0AGUAcgBUAHkAcABlAD0AMQB8AFcAYQB0AGUAcgBUAGUA</vt:lpwstr>
  </property>
  <property fmtid="{D5CDD505-2E9C-101B-9397-08002B2CF9AE}" pid="5" name="DocInfoData4">
    <vt:lpwstr>eAB0AD0AfABSAGUAYwBpAHAAaQBlAG4AdABzAD0AfABSAGUAYwBpAHAAaQBlAG4AdABzAEMAbwBkAGUAPQAwADAAMAAwADAAMAAwADAAfABDAHUAcwB0AG8AbQA9ACkA</vt:lpwstr>
  </property>
  <property fmtid="{D5CDD505-2E9C-101B-9397-08002B2CF9AE}" pid="6" name="DocInfoLevel">
    <vt:lpwstr>C0</vt:lpwstr>
  </property>
  <property fmtid="{D5CDD505-2E9C-101B-9397-08002B2CF9AE}" pid="7" name="DocInfoOwner">
    <vt:lpwstr>Mohora, Anca, Vodafone Romania</vt:lpwstr>
  </property>
  <property fmtid="{D5CDD505-2E9C-101B-9397-08002B2CF9AE}" pid="8" name="DocInfoVersion">
    <vt:lpwstr>3.01.332</vt:lpwstr>
  </property>
</Properties>
</file>